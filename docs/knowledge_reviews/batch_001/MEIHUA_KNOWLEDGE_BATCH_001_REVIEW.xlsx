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e1be92efd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说明" sheetId="1" r:id="Rbdb876746ebc461e"/>
    <x:sheet xmlns:r="http://schemas.openxmlformats.org/officeDocument/2006/relationships" name="卦级审核" sheetId="2" r:id="Rfbde3e43433e47d1"/>
    <x:sheet xmlns:r="http://schemas.openxmlformats.org/officeDocument/2006/relationships" name="爻级审核" sheetId="3" r:id="R80371a108d07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60dad58ba4fb4" /><Relationship Type="http://schemas.openxmlformats.org/officeDocument/2006/relationships/theme" Target="/xl/theme/theme1.xml" Id="R28c67f5c0fd84921" /><Relationship Type="http://schemas.openxmlformats.org/officeDocument/2006/relationships/sharedStrings" Target="/xl/sharedStrings.xml" Id="Re98419bdd9884b7e" /><Relationship Type="http://schemas.openxmlformats.org/officeDocument/2006/relationships/worksheet" Target="/xl/worksheets/sheet1.xml" Id="Rbdb876746ebc461e" /><Relationship Type="http://schemas.openxmlformats.org/officeDocument/2006/relationships/worksheet" Target="/xl/worksheets/sheet2.xml" Id="Rfbde3e43433e47d1" /><Relationship Type="http://schemas.openxmlformats.org/officeDocument/2006/relationships/worksheet" Target="/xl/worksheets/sheet3.xml" Id="R80371a108d074cf2" /></Relationships>
</file>

<file path=xl/tables/table1.xml><?xml version="1.0" encoding="utf-8"?>
<x:table xmlns:x="http://schemas.openxmlformats.org/spreadsheetml/2006/main" id="1" name="HexagramReviewTable" displayName="HexagramReviewTable" ref="A1:AE9" headerRowCount="1" totalsRowCount="0" totalsRowShown="0">
  <x:tableColumns count="31">
    <x:tableColumn id="1" name="Item ID"/>
    <x:tableColumn id="2" name="卦序"/>
    <x:tableColumn id="3" name="卦名"/>
    <x:tableColumn id="4" name="上卦"/>
    <x:tableColumn id="5" name="下卦"/>
    <x:tableColumn id="6" name="正式状态"/>
    <x:tableColumn id="7" name="工作台状态"/>
    <x:tableColumn id="8" name="项目冻结卦辞"/>
    <x:tableColumn id="9" name="Chinese Text Project"/>
    <x:tableColumn id="10" name="维基文库"/>
    <x:tableColumn id="11" name="异文说明"/>
    <x:tableColumn id="12" name="标点差异"/>
    <x:tableColumn id="13" name="简繁/规范化差异"/>
    <x:tableColumn id="14" name="实质异文"/>
    <x:tableColumn id="15" name="人工复核"/>
    <x:tableColumn id="16" name="CTEXT URL"/>
    <x:tableColumn id="17" name="WIKISOURCE URL"/>
    <x:tableColumn id="18" name="白话直译"/>
    <x:tableColumn id="19" name="核心主题"/>
    <x:tableColumn id="20" name="情境模式"/>
    <x:tableColumn id="21" name="有利条件"/>
    <x:tableColumn id="22" name="风险条件"/>
    <x:tableColumn id="23" name="行动倾向"/>
    <x:tableColumn id="24" name="感情边界"/>
    <x:tableColumn id="25" name="职业边界"/>
    <x:tableColumn id="26" name="合作边界"/>
    <x:tableColumn id="27" name="禁止推断"/>
    <x:tableColumn id="28" name="证据方向"/>
    <x:tableColumn id="29" name="证据强度"/>
    <x:tableColumn id="30" name="审核备注"/>
    <x:tableColumn id="31" name="审核决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neReviewTable" displayName="LineReviewTable" ref="A1:AH9" headerRowCount="1" totalsRowCount="0" totalsRowShown="0">
  <x:tableColumns count="34">
    <x:tableColumn id="1" name="Item ID"/>
    <x:tableColumn id="2" name="卦序"/>
    <x:tableColumn id="3" name="卦名"/>
    <x:tableColumn id="4" name="上卦"/>
    <x:tableColumn id="5" name="下卦"/>
    <x:tableColumn id="6" name="爻位"/>
    <x:tableColumn id="7" name="爻名"/>
    <x:tableColumn id="8" name="正式状态"/>
    <x:tableColumn id="9" name="工作台状态"/>
    <x:tableColumn id="10" name="项目冻结爻辞"/>
    <x:tableColumn id="11" name="Chinese Text Project"/>
    <x:tableColumn id="12" name="维基文库"/>
    <x:tableColumn id="13" name="异文说明"/>
    <x:tableColumn id="14" name="标点差异"/>
    <x:tableColumn id="15" name="简繁/规范化差异"/>
    <x:tableColumn id="16" name="实质异文"/>
    <x:tableColumn id="17" name="人工复核"/>
    <x:tableColumn id="18" name="CTEXT URL"/>
    <x:tableColumn id="19" name="WIKISOURCE URL"/>
    <x:tableColumn id="20" name="白话直译"/>
    <x:tableColumn id="21" name="爻位阶段关系"/>
    <x:tableColumn id="22" name="核心主题"/>
    <x:tableColumn id="23" name="情境模式"/>
    <x:tableColumn id="24" name="有利条件"/>
    <x:tableColumn id="25" name="风险条件"/>
    <x:tableColumn id="26" name="行动倾向"/>
    <x:tableColumn id="27" name="感情边界"/>
    <x:tableColumn id="28" name="职业边界"/>
    <x:tableColumn id="29" name="合作边界"/>
    <x:tableColumn id="30" name="禁止推断"/>
    <x:tableColumn id="31" name="证据方向"/>
    <x:tableColumn id="32" name="证据强度"/>
    <x:tableColumn id="33" name="审核备注"/>
    <x:tableColumn id="34" name="审核决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cae0a249d648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063324226d45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6" t="str">
        <x:v>项目</x:v>
      </x:c>
      <x:c r="B1" s="6" t="str">
        <x:v>内容</x:v>
      </x:c>
    </x:row>
    <x:row r="2">
      <x:c r="A2" s="12" t="str">
        <x:v>Batch ID</x:v>
      </x:c>
      <x:c r="B2" s="13" t="str">
        <x:v>MEIHUA-KNOWLEDGE-BATCH-001</x:v>
      </x:c>
    </x:row>
    <x:row r="3">
      <x:c r="A3" s="12" t="str">
        <x:v>工作台性质</x:v>
      </x:c>
      <x:c r="B3" s="13" t="str">
        <x:v>AI 编辑 DRAFT 待人工审核；不是人工签核</x:v>
      </x:c>
    </x:row>
    <x:row r="4">
      <x:c r="A4" s="12" t="str">
        <x:v>正式导入</x:v>
      </x:c>
      <x:c r="B4" s="13" t="str">
        <x:v>生产导入禁用；仅内部 DRAFT 预览</x:v>
      </x:c>
    </x:row>
    <x:row r="5">
      <x:c r="A5" s="12" t="str">
        <x:v>审核记录总数</x:v>
      </x:c>
      <x:c r="B5" s="13" t="n">
        <x:f>COUNTA('卦级审核'!A2:A9)+COUNTA('爻级审核'!A2:A9)</x:f>
        <x:v>16</x:v>
      </x:c>
    </x:row>
    <x:row r="6">
      <x:c r="A6" s="12" t="str">
        <x:v>卦级记录</x:v>
      </x:c>
      <x:c r="B6" s="13" t="n">
        <x:f>COUNTA('卦级审核'!A2:A9)</x:f>
        <x:v>8</x:v>
      </x:c>
    </x:row>
    <x:row r="7">
      <x:c r="A7" s="12" t="str">
        <x:v>爻级记录</x:v>
      </x:c>
      <x:c r="B7" s="13" t="n">
        <x:f>COUNTA('爻级审核'!A2:A9)</x:f>
        <x:v>8</x:v>
      </x:c>
    </x:row>
    <x:row r="8">
      <x:c r="A8" s="12" t="str">
        <x:v>来源异文待复核</x:v>
      </x:c>
      <x:c r="B8" s="13" t="n">
        <x:v>0</x:v>
      </x:c>
    </x:row>
    <x:row r="9">
      <x:c r="A9" s="12" t="str">
        <x:v>正式知识状态</x:v>
      </x:c>
      <x:c r="B9" s="13" t="str">
        <x:v>DRAFT=16；CANONICAL_ONLY=432</x:v>
      </x:c>
    </x:row>
    <x:row r="10">
      <x:c r="A10" s="12" t="str">
        <x:v>现代解释</x:v>
      </x:c>
      <x:c r="B10" s="13" t="str">
        <x:v>16 条 AI 编辑提案已写入，等待人工审核</x:v>
      </x:c>
    </x:row>
    <x:row r="11">
      <x:c r="A11" s="12" t="str">
        <x:v>Chinese Text Project</x:v>
      </x:c>
      <x:c r="B11" s="13" t="str">
        <x:v>https://ctext.org/book-of-changes</x:v>
      </x:c>
    </x:row>
    <x:row r="12">
      <x:c r="A12" s="12" t="str">
        <x:v>维基文库</x:v>
      </x:c>
      <x:c r="B12" s="13" t="str">
        <x:v>https://zh.wikisource.org/zh-hant/周易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16" hidden="0" customWidth="1"/>
    <x:col min="7" max="7" width="30" hidden="0" customWidth="1"/>
    <x:col min="8" max="8" width="44" hidden="0" customWidth="1"/>
    <x:col min="9" max="9" width="44" hidden="0" customWidth="1"/>
    <x:col min="10" max="10" width="44" hidden="0" customWidth="1"/>
    <x:col min="11" max="11" width="34" hidden="0" customWidth="1"/>
    <x:col min="12" max="12" width="10" hidden="0" customWidth="1"/>
    <x:col min="13" max="13" width="14" hidden="0" customWidth="1"/>
    <x:col min="14" max="14" width="10" hidden="0" customWidth="1"/>
    <x:col min="15" max="15" width="10" hidden="0" customWidth="1"/>
    <x:col min="16" max="16" width="38" hidden="0" customWidth="1"/>
    <x:col min="17" max="17" width="38" hidden="0" customWidth="1"/>
    <x:col min="18" max="18" width="28" hidden="0" customWidth="1"/>
    <x:col min="19" max="19" width="24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4" hidden="0" customWidth="1"/>
    <x:col min="29" max="29" width="18" hidden="0" customWidth="1"/>
    <x:col min="30" max="30" width="28" hidden="0" customWidth="1"/>
    <x:col min="31" max="31" width="20" hidden="0" customWidth="1"/>
  </x:cols>
  <x:sheetData>
    <x:row r="1" ht="34" customHeight="1">
      <x:c r="A1" s="6" t="str">
        <x:v>Item ID</x:v>
      </x:c>
      <x:c r="B1" s="6" t="str">
        <x:v>卦序</x:v>
      </x:c>
      <x:c r="C1" s="6" t="str">
        <x:v>卦名</x:v>
      </x:c>
      <x:c r="D1" s="6" t="str">
        <x:v>上卦</x:v>
      </x:c>
      <x:c r="E1" s="6" t="str">
        <x:v>下卦</x:v>
      </x:c>
      <x:c r="F1" s="6" t="str">
        <x:v>正式状态</x:v>
      </x:c>
      <x:c r="G1" s="6" t="str">
        <x:v>工作台状态</x:v>
      </x:c>
      <x:c r="H1" s="6" t="str">
        <x:v>项目冻结卦辞</x:v>
      </x:c>
      <x:c r="I1" s="6" t="str">
        <x:v>Chinese Text Project</x:v>
      </x:c>
      <x:c r="J1" s="6" t="str">
        <x:v>维基文库</x:v>
      </x:c>
      <x:c r="K1" s="6" t="str">
        <x:v>异文说明</x:v>
      </x:c>
      <x:c r="L1" s="6" t="str">
        <x:v>标点差异</x:v>
      </x:c>
      <x:c r="M1" s="6" t="str">
        <x:v>简繁/规范化差异</x:v>
      </x:c>
      <x:c r="N1" s="6" t="str">
        <x:v>实质异文</x:v>
      </x:c>
      <x:c r="O1" s="6" t="str">
        <x:v>人工复核</x:v>
      </x:c>
      <x:c r="P1" s="6" t="str">
        <x:v>CTEXT URL</x:v>
      </x:c>
      <x:c r="Q1" s="6" t="str">
        <x:v>WIKISOURCE URL</x:v>
      </x:c>
      <x:c r="R1" s="6" t="str">
        <x:v>白话直译</x:v>
      </x:c>
      <x:c r="S1" s="6" t="str">
        <x:v>核心主题</x:v>
      </x:c>
      <x:c r="T1" s="6" t="str">
        <x:v>情境模式</x:v>
      </x:c>
      <x:c r="U1" s="6" t="str">
        <x:v>有利条件</x:v>
      </x:c>
      <x:c r="V1" s="6" t="str">
        <x:v>风险条件</x:v>
      </x:c>
      <x:c r="W1" s="6" t="str">
        <x:v>行动倾向</x:v>
      </x:c>
      <x:c r="X1" s="6" t="str">
        <x:v>感情边界</x:v>
      </x:c>
      <x:c r="Y1" s="6" t="str">
        <x:v>职业边界</x:v>
      </x:c>
      <x:c r="Z1" s="6" t="str">
        <x:v>合作边界</x:v>
      </x:c>
      <x:c r="AA1" s="6" t="str">
        <x:v>禁止推断</x:v>
      </x:c>
      <x:c r="AB1" s="6" t="str">
        <x:v>证据方向</x:v>
      </x:c>
      <x:c r="AC1" s="6" t="str">
        <x:v>证据强度</x:v>
      </x:c>
      <x:c r="AD1" s="6" t="str">
        <x:v>审核备注</x:v>
      </x:c>
      <x:c r="AE1" s="6" t="str">
        <x:v>审核决定</x:v>
      </x:c>
    </x:row>
    <x:row r="2" ht="96" customHeight="1">
      <x:c r="A2" s="20" t="str">
        <x:v>H01</x:v>
      </x:c>
      <x:c r="B2" s="20" t="n">
        <x:v>1</x:v>
      </x:c>
      <x:c r="C2" s="20" t="str">
        <x:v>乾</x:v>
      </x:c>
      <x:c r="D2" s="20" t="str">
        <x:v>乾</x:v>
      </x:c>
      <x:c r="E2" s="20" t="str">
        <x:v>乾</x:v>
      </x:c>
      <x:c r="F2" s="20" t="str">
        <x:v>DRAFT</x:v>
      </x:c>
      <x:c r="G2" s="20" t="str">
        <x:v>READY_FOR_CONTENT_REVIEW</x:v>
      </x:c>
      <x:c r="H2" s="20" t="str">
        <x:v>元亨利貞。</x:v>
      </x:c>
      <x:c r="I2" s="20" t="str">
        <x:v>元亨，利貞。</x:v>
      </x:c>
      <x:c r="J2" s="20" t="str">
        <x:v>元亨。利貞。</x:v>
      </x:c>
      <x:c r="K2" s="20" t="str">
        <x:v>仅检测到标点或空白差异；仍需人工确认。</x:v>
      </x:c>
      <x:c r="L2" s="20" t="str">
        <x:v>是</x:v>
      </x:c>
      <x:c r="M2" s="20" t="str">
        <x:v>否</x:v>
      </x:c>
      <x:c r="N2" s="20" t="str">
        <x:v>否</x:v>
      </x:c>
      <x:c r="O2" s="20" t="str">
        <x:v>是</x:v>
      </x:c>
      <x:c r="P2" s="20" t="str">
        <x:v>https://ctext.org/book-of-changes/qian</x:v>
      </x:c>
      <x:c r="Q2" s="20" t="str">
        <x:v>https://zh.wikisource.org/zh-hant/%E5%91%A8%E6%98%93/%E4%B9%BE</x:v>
      </x:c>
      <x:c r="R2" s="21" t="str"/>
      <x:c r="S2" s="21" t="str">
        <x:v>主动创造、持续进取，并以原则约束力量。</x:v>
      </x:c>
      <x:c r="T2" s="21" t="str">
        <x:v>资源、能力或行动意愿较强，事情有向上展开的空间；关键不在于是否敢做，而在于方向、节奏和责任能否长期一致。</x:v>
      </x:c>
      <x:c r="U2" s="21" t="str">
        <x:v>目标明确；行动与承诺一致；能够持续投入；愿意接受规则、协作和现实反馈。</x:v>
      </x:c>
      <x:c r="V2" s="21" t="str">
        <x:v>自信膨胀、急于证明、把强势当执行力，或在条件尚未成熟时过度扩张。</x:v>
      </x:c>
      <x:c r="W2" s="21" t="str">
        <x:v>可以主动筹划和分阶段推进，但应先确认方向、边界与长期承受力。</x:v>
      </x:c>
      <x:c r="X2" s="21" t="str">
        <x:v>可说明关系中存在较强的主动性或发展动力；不能据此断言对方一定回应、复合或进入承诺。</x:v>
      </x:c>
      <x:c r="Y2" s="21" t="str">
        <x:v>可用于解释开新局、承担责任和主动争取；不能推断必然升职、创业成功或权力上升。</x:v>
      </x:c>
      <x:c r="Z2" s="21" t="str">
        <x:v>适合目标和权责清楚的合作；需要防止单方控制、责任失衡和只求速度。</x:v>
      </x:c>
      <x:c r="AA2" s="21" t="str">
        <x:v>不得解释为“只要主动就一定成功”；不得断言对方会被说服、征服或必然接受；不得把强势、控制欲包装成乾卦应有表现；不得承诺升职、创业成功或财富增长</x:v>
      </x:c>
      <x:c r="AB2" s="21" t="str">
        <x:v>POSITIVE</x:v>
      </x:c>
      <x:c r="AC2" s="21" t="str">
        <x:v>MEDIUM</x:v>
      </x:c>
      <x:c r="AD2" s="21" t="str">
        <x:v>卦辞极简，解释必须保留“利贞”的条件性；不把“元亨利贞”机械拆成四个固定吉利标签。</x:v>
      </x:c>
      <x:c r="AE2" s="21" t="str">
        <x:v>建议形成DRAFT候选，待产品负责人确认语气后再进入REVIEWED。</x:v>
      </x:c>
    </x:row>
    <x:row r="3" ht="96" customHeight="1">
      <x:c r="A3" s="20" t="str">
        <x:v>H02</x:v>
      </x:c>
      <x:c r="B3" s="20" t="n">
        <x:v>2</x:v>
      </x:c>
      <x:c r="C3" s="20" t="str">
        <x:v>坤</x:v>
      </x:c>
      <x:c r="D3" s="20" t="str">
        <x:v>坤</x:v>
      </x:c>
      <x:c r="E3" s="20" t="str">
        <x:v>坤</x:v>
      </x:c>
      <x:c r="F3" s="20" t="str">
        <x:v>DRAFT</x:v>
      </x:c>
      <x:c r="G3" s="20" t="str">
        <x:v>READY_FOR_CONTENT_REVIEW</x:v>
      </x:c>
      <x:c r="H3" s="20" t="str">
        <x:v>元亨，利牝馬之貞。君子有攸往，先迷後得，主利，西南得朋，東北喪朋，安貞吉。</x:v>
      </x:c>
      <x:c r="I3" s="20" t="str">
        <x:v>元亨，利牝馬之貞。君子有攸往，先迷後得主，利西南得朋，東北喪朋。安貞，吉。</x:v>
      </x:c>
      <x:c r="J3" s="20" t="str">
        <x:v>元亨。利牝馬之貞。君子有攸往，先迷後得主。利西南得朋，東北喪朋。安貞，吉。</x:v>
      </x:c>
      <x:c r="K3" s="20" t="str">
        <x:v>仅检测到标点或空白差异；仍需人工确认。</x:v>
      </x:c>
      <x:c r="L3" s="20" t="str">
        <x:v>是</x:v>
      </x:c>
      <x:c r="M3" s="20" t="str">
        <x:v>否</x:v>
      </x:c>
      <x:c r="N3" s="20" t="str">
        <x:v>否</x:v>
      </x:c>
      <x:c r="O3" s="20" t="str">
        <x:v>是</x:v>
      </x:c>
      <x:c r="P3" s="20" t="str">
        <x:v>https://ctext.org/book-of-changes/kun</x:v>
      </x:c>
      <x:c r="Q3" s="20" t="str">
        <x:v>https://zh.wikisource.org/zh-hant/%E5%91%A8%E6%98%93/%E5%9D%A4</x:v>
      </x:c>
      <x:c r="R3" s="21" t="str"/>
      <x:c r="S3" s="21" t="str">
        <x:v>承载、顺势、稳定执行，并在配合中保持原则。</x:v>
      </x:c>
      <x:c r="T3" s="21" t="str">
        <x:v>当前更需要接纳现实、整合资源、支持长期过程，而不是抢先主导或强行改变全部条件。</x:v>
      </x:c>
      <x:c r="U3" s="21" t="str">
        <x:v>角色与边界清楚；节奏稳定；能够倾听和配合；选择价值观与目标相容的人或环境。</x:v>
      </x:c>
      <x:c r="V3" s="21" t="str">
        <x:v>把顺势误解为盲从，把承载误解为无限忍耐，或因为害怕冲突而失去判断和边界。</x:v>
      </x:c>
      <x:c r="W3" s="21" t="str">
        <x:v>先确认方向和责任，再以稳定、持续、可承受的方式执行；支持别人不等于放弃自己的判断。</x:v>
      </x:c>
      <x:c r="X3" s="21" t="str">
        <x:v>可说明关系更需要耐心、照顾现实和稳定回应；不能推断某一性别必须顺从，也不能要求一方无限牺牲。</x:v>
      </x:c>
      <x:c r="Y3" s="21" t="str">
        <x:v>适合支持系统、运营执行、资源整合和长期建设；不能推断只能做辅助岗位或不适合领导。</x:v>
      </x:c>
      <x:c r="Z3" s="21" t="str">
        <x:v>有利于互补、稳定和长期合作；前提是权责明确，不以单方承受全部成本维持表面和谐。</x:v>
      </x:c>
      <x:c r="AA3" s="21" t="str">
        <x:v>不得把坤卦解释为女性、弱势或必须服从；不得鼓励无边界忍耐或自我牺牲；不得断言只要等待就会自动得到结果；不得把配合解释为放弃判断和主动权</x:v>
      </x:c>
      <x:c r="AB3" s="21" t="str">
        <x:v>POSITIVE</x:v>
      </x:c>
      <x:c r="AC3" s="21" t="str">
        <x:v>MEDIUM</x:v>
      </x:c>
      <x:c r="AD3" s="21" t="str">
        <x:v>“牝马之贞”按稳定、顺势且有方向的持续性解释，不引入性别刻板印象。</x:v>
      </x:c>
      <x:c r="AE3" s="21" t="str">
        <x:v>建议形成DRAFT候选，待产品负责人确认语气后再进入REVIEWED。</x:v>
      </x:c>
    </x:row>
    <x:row r="4" ht="96" customHeight="1">
      <x:c r="A4" s="20" t="str">
        <x:v>H03</x:v>
      </x:c>
      <x:c r="B4" s="20" t="n">
        <x:v>3</x:v>
      </x:c>
      <x:c r="C4" s="20" t="str">
        <x:v>屯</x:v>
      </x:c>
      <x:c r="D4" s="20" t="str">
        <x:v>坎</x:v>
      </x:c>
      <x:c r="E4" s="20" t="str">
        <x:v>震</x:v>
      </x:c>
      <x:c r="F4" s="20" t="str">
        <x:v>DRAFT</x:v>
      </x:c>
      <x:c r="G4" s="20" t="str">
        <x:v>READY_FOR_CONTENT_REVIEW</x:v>
      </x:c>
      <x:c r="H4" s="20" t="str">
        <x:v>元亨利貞，勿用有攸往，利建侯。</x:v>
      </x:c>
      <x:c r="I4" s="20" t="str">
        <x:v>元亨，利貞，勿用有攸往，利建侯。</x:v>
      </x:c>
      <x:c r="J4" s="20" t="str">
        <x:v>元亨，利貞。勿用有攸往，利建侯。</x:v>
      </x:c>
      <x:c r="K4" s="20" t="str">
        <x:v>仅检测到标点或空白差异；仍需人工确认。</x:v>
      </x:c>
      <x:c r="L4" s="20" t="str">
        <x:v>是</x:v>
      </x:c>
      <x:c r="M4" s="20" t="str">
        <x:v>否</x:v>
      </x:c>
      <x:c r="N4" s="20" t="str">
        <x:v>否</x:v>
      </x:c>
      <x:c r="O4" s="20" t="str">
        <x:v>是</x:v>
      </x:c>
      <x:c r="P4" s="20" t="str">
        <x:v>https://ctext.org/book-of-changes/zhun</x:v>
      </x:c>
      <x:c r="Q4" s="20" t="str">
        <x:v>https://zh.wikisource.org/zh-hant/%E5%91%A8%E6%98%93/%E5%B1%AF</x:v>
      </x:c>
      <x:c r="R4" s="21" t="str"/>
      <x:c r="S4" s="21" t="str">
        <x:v>起步困难中的组织、扎根与建立支持。</x:v>
      </x:c>
      <x:c r="T4" s="21" t="str">
        <x:v>新事物已经出现，但资源、角色和路径尚未稳定；困难主要来自初创阶段的混乱，而不等同于事情没有前景。</x:v>
      </x:c>
      <x:c r="U4" s="21" t="str">
        <x:v>先缩小目标；明确第一步；获得合适支持；建立规则、负责人和基础资源；允许逐步试错。</x:v>
      </x:c>
      <x:c r="V4" s="21" t="str">
        <x:v>把早期混乱当作彻底失败，或在基础未立时急于远行、扩张和同时处理太多问题。</x:v>
      </x:c>
      <x:c r="W4" s="21" t="str">
        <x:v>先稳住、组队、立规则，再逐步推进；当前更重视建立可持续起点，而非追求立刻见效。</x:v>
      </x:c>
      <x:c r="X4" s="21" t="str">
        <x:v>可说明关系处于刚开始、条件复杂或尚未成形；不能据此断言一定会发展，也不能把所有阻力合理化。</x:v>
      </x:c>
      <x:c r="Y4" s="21" t="str">
        <x:v>适用于新岗位、新项目、转型初期；不能承诺项目最终成功，应先验证资源、职责和支持者。</x:v>
      </x:c>
      <x:c r="Z4" s="21" t="str">
        <x:v>需要明确牵头人、基本协议和资源安排；不适合在权责未清时迅速扩大合作。</x:v>
      </x:c>
      <x:c r="AA4" s="21" t="str">
        <x:v>不得把起步困难直接断成失败；不得把“利建侯”机械解释为会获得职位或贵人；不得承诺新关系、新项目最终必成；不得鼓励在结构混乱时盲目扩张</x:v>
      </x:c>
      <x:c r="AB4" s="21" t="str">
        <x:v>MIXED</x:v>
      </x:c>
      <x:c r="AC4" s="21" t="str">
        <x:v>STRONG</x:v>
      </x:c>
      <x:c r="AD4" s="21" t="str">
        <x:v>“勿用有攸往”强调当前不宜贸然远进；“利建侯”按建立组织和负责人解释，不作职位预测。</x:v>
      </x:c>
      <x:c r="AE4" s="21" t="str">
        <x:v>建议形成DRAFT候选，待产品负责人确认语气后再进入REVIEWED。</x:v>
      </x:c>
    </x:row>
    <x:row r="5" ht="96" customHeight="1">
      <x:c r="A5" s="20" t="str">
        <x:v>H04</x:v>
      </x:c>
      <x:c r="B5" s="20" t="n">
        <x:v>4</x:v>
      </x:c>
      <x:c r="C5" s="20" t="str">
        <x:v>蒙</x:v>
      </x:c>
      <x:c r="D5" s="20" t="str">
        <x:v>艮</x:v>
      </x:c>
      <x:c r="E5" s="20" t="str">
        <x:v>坎</x:v>
      </x:c>
      <x:c r="F5" s="20" t="str">
        <x:v>DRAFT</x:v>
      </x:c>
      <x:c r="G5" s="20" t="str">
        <x:v>READY_FOR_CONTENT_REVIEW</x:v>
      </x:c>
      <x:c r="H5" s="20" t="str">
        <x:v>亨。匪我求童蒙，童蒙求我。初筮告，再三瀆，瀆則不告。利貞。</x:v>
      </x:c>
      <x:c r="I5" s="20" t="str">
        <x:v>亨。匪我求童蒙，童蒙求我。初筮告，再三瀆，瀆則不告。利貞。</x:v>
      </x:c>
      <x:c r="J5" s="20" t="str">
        <x:v>亨。匪我求童蒙，童蒙求我。初筮告，再三瀆，瀆則不告。利貞。</x:v>
      </x:c>
      <x:c r="K5" s="20" t="str">
        <x:v>自动字符比对未发现差异；仍需人工确认来源版本。</x:v>
      </x:c>
      <x:c r="L5" s="20" t="str">
        <x:v>否</x:v>
      </x:c>
      <x:c r="M5" s="20" t="str">
        <x:v>否</x:v>
      </x:c>
      <x:c r="N5" s="20" t="str">
        <x:v>否</x:v>
      </x:c>
      <x:c r="O5" s="20" t="str">
        <x:v>是</x:v>
      </x:c>
      <x:c r="P5" s="20" t="str">
        <x:v>https://ctext.org/book-of-changes/meng</x:v>
      </x:c>
      <x:c r="Q5" s="20" t="str">
        <x:v>https://zh.wikisource.org/zh-hant/%E5%91%A8%E6%98%93/%E8%92%99</x:v>
      </x:c>
      <x:c r="R5" s="21" t="str"/>
      <x:c r="S5" s="21" t="str">
        <x:v>承认未知、建立学习秩序、一次把核心问题问清。</x:v>
      </x:c>
      <x:c r="T5" s="21" t="str">
        <x:v>当事人对事实、规则或自身目标尚未充分理解，需要可靠指导和实际验证，而不是继续堆叠猜测。</x:v>
      </x:c>
      <x:c r="U5" s="21" t="str">
        <x:v>愿意承认不知道；问题具体；接受反馈；一次聚焦一个核心问题；能够把学习转化为行动。</x:v>
      </x:c>
      <x:c r="V5" s="21" t="str">
        <x:v>反复求证直到得到喜欢的答案，依赖权威替自己决定，或拒绝面对不确定性和必要学习。</x:v>
      </x:c>
      <x:c r="W5" s="21" t="str">
        <x:v>先澄清事实和概念，再选择可信来源学习；得到答案后应验证和行动，而不是立即重复问同一件事。</x:v>
      </x:c>
      <x:c r="X5" s="21" t="str">
        <x:v>可说明双方认知、经验或信息不对称；不能据此把任何一方贬为幼稚、愚笨，也不能推断对方故意隐瞒。</x:v>
      </x:c>
      <x:c r="Y5" s="21" t="str">
        <x:v>适合提示补课、求教、了解规则和接受训练；不能推断一定会遇到导师或通过考试。</x:v>
      </x:c>
      <x:c r="Z5" s="21" t="str">
        <x:v>合作前应补齐信息、标准和流程；反复改变问题或不尊重专业边界会降低合作质量。</x:v>
      </x:c>
      <x:c r="AA5" s="21" t="str">
        <x:v>不得把“童蒙”用于羞辱或诊断他人能力；不得声称某位权威一定正确；不得用卦象替代事实调查和专业学习；不得通过反复起卦获得想要的答案</x:v>
      </x:c>
      <x:c r="AB5" s="21" t="str">
        <x:v>MIXED</x:v>
      </x:c>
      <x:c r="AC5" s="21" t="str">
        <x:v>STRONG</x:v>
      </x:c>
      <x:c r="AD5" s="21" t="str">
        <x:v>重点是求知秩序与反复占问的边界，不把“再三渎”解释成神秘惩罚。</x:v>
      </x:c>
      <x:c r="AE5" s="21" t="str">
        <x:v>建议形成DRAFT候选，待产品负责人确认语气后再进入REVIEWED。</x:v>
      </x:c>
    </x:row>
    <x:row r="6" ht="96" customHeight="1">
      <x:c r="A6" s="20" t="str">
        <x:v>H11</x:v>
      </x:c>
      <x:c r="B6" s="20" t="n">
        <x:v>11</x:v>
      </x:c>
      <x:c r="C6" s="20" t="str">
        <x:v>泰</x:v>
      </x:c>
      <x:c r="D6" s="20" t="str">
        <x:v>坤</x:v>
      </x:c>
      <x:c r="E6" s="20" t="str">
        <x:v>乾</x:v>
      </x:c>
      <x:c r="F6" s="20" t="str">
        <x:v>DRAFT</x:v>
      </x:c>
      <x:c r="G6" s="20" t="str">
        <x:v>READY_FOR_CONTENT_REVIEW</x:v>
      </x:c>
      <x:c r="H6" s="20" t="str">
        <x:v>小往大來，吉亨。</x:v>
      </x:c>
      <x:c r="I6" s="20" t="str">
        <x:v>小往大來，吉亨。</x:v>
      </x:c>
      <x:c r="J6" s="20" t="str">
        <x:v>小往大來，吉亨。</x:v>
      </x:c>
      <x:c r="K6" s="20" t="str">
        <x:v>自动字符比对未发现差异；仍需人工确认来源版本。</x:v>
      </x:c>
      <x:c r="L6" s="20" t="str">
        <x:v>否</x:v>
      </x:c>
      <x:c r="M6" s="20" t="str">
        <x:v>否</x:v>
      </x:c>
      <x:c r="N6" s="20" t="str">
        <x:v>否</x:v>
      </x:c>
      <x:c r="O6" s="20" t="str">
        <x:v>是</x:v>
      </x:c>
      <x:c r="P6" s="20" t="str">
        <x:v>https://ctext.org/book-of-changes/tai</x:v>
      </x:c>
      <x:c r="Q6" s="20" t="str">
        <x:v>https://zh.wikisource.org/zh-hant/%E5%91%A8%E6%98%93/%E6%B3%B0</x:v>
      </x:c>
      <x:c r="R6" s="21" t="str"/>
      <x:c r="S6" s="21" t="str">
        <x:v>沟通畅通、上下相交、资源进入与协同推进。</x:v>
      </x:c>
      <x:c r="T6" s="21" t="str">
        <x:v>不同层级、角色或资源之间开始形成有效连接，原先难以推动的事情出现窗口。</x:v>
      </x:c>
      <x:c r="U6" s="21" t="str">
        <x:v>信息透明；上下目标一致；资源能够流动；各方愿意承担责任；在顺利时仍保留风险意识。</x:v>
      </x:c>
      <x:c r="V6" s="21" t="str">
        <x:v>把阶段性顺利当成永久保障，扩张过快，忽视弱小信号，或因局势有利而停止维护关系与规则。</x:v>
      </x:c>
      <x:c r="W6" s="21" t="str">
        <x:v>适合推进、协作和整合资源，同时建立持续沟通与回调机制，为局势变化留出余地。</x:v>
      </x:c>
      <x:c r="X6" s="21" t="str">
        <x:v>可说明互动与沟通条件改善；不能据此断言必然复合、结婚或长期稳定。</x:v>
      </x:c>
      <x:c r="Y6" s="21" t="str">
        <x:v>有利于跨层级协作、资源整合和推进项目；不能承诺升职、录用或业绩结果。</x:v>
      </x:c>
      <x:c r="Z6" s="21" t="str">
        <x:v>适合谈协同、交换资源和扩大有效合作；仍需把权责、退出和风险机制写清楚。</x:v>
      </x:c>
      <x:c r="AA6" s="21" t="str">
        <x:v>不得把泰卦解释为从此一帆风顺；不得承诺感情必成或事业必升；不得忽略顺境中的周期变化；不得因局势有利而省略合同与风险控制</x:v>
      </x:c>
      <x:c r="AB6" s="21" t="str">
        <x:v>POSITIVE</x:v>
      </x:c>
      <x:c r="AC6" s="21" t="str">
        <x:v>STRONG</x:v>
      </x:c>
      <x:c r="AD6" s="21" t="str">
        <x:v>强调“通”与“交”的条件，不把吉亨写成无条件成功。</x:v>
      </x:c>
      <x:c r="AE6" s="21" t="str">
        <x:v>建议形成DRAFT候选，待产品负责人确认语气后再进入REVIEWED。</x:v>
      </x:c>
    </x:row>
    <x:row r="7" ht="96" customHeight="1">
      <x:c r="A7" s="20" t="str">
        <x:v>H12</x:v>
      </x:c>
      <x:c r="B7" s="20" t="n">
        <x:v>12</x:v>
      </x:c>
      <x:c r="C7" s="20" t="str">
        <x:v>否</x:v>
      </x:c>
      <x:c r="D7" s="20" t="str">
        <x:v>乾</x:v>
      </x:c>
      <x:c r="E7" s="20" t="str">
        <x:v>坤</x:v>
      </x:c>
      <x:c r="F7" s="20" t="str">
        <x:v>DRAFT</x:v>
      </x:c>
      <x:c r="G7" s="20" t="str">
        <x:v>READY_FOR_CONTENT_REVIEW</x:v>
      </x:c>
      <x:c r="H7" s="20" t="str">
        <x:v>否之匪人，不利君子貞，大往小來。</x:v>
      </x:c>
      <x:c r="I7" s="20" t="str">
        <x:v>否之匪人，不利君子貞，大往小來。</x:v>
      </x:c>
      <x:c r="J7" s="20" t="str">
        <x:v>否之匪人，不利君子貞，大往小來。</x:v>
      </x:c>
      <x:c r="K7" s="20" t="str">
        <x:v>已按 MEIHUA_CANONICAL_CORRECTIONS_V1 补回‘否之匪人’；仍需人工复核来源版本。</x:v>
      </x:c>
      <x:c r="L7" s="20" t="str">
        <x:v>否</x:v>
      </x:c>
      <x:c r="M7" s="20" t="str">
        <x:v>否</x:v>
      </x:c>
      <x:c r="N7" s="20" t="str">
        <x:v>否</x:v>
      </x:c>
      <x:c r="O7" s="20" t="str">
        <x:v>是</x:v>
      </x:c>
      <x:c r="P7" s="20" t="str">
        <x:v>https://ctext.org/book-of-changes/pi</x:v>
      </x:c>
      <x:c r="Q7" s="20" t="str">
        <x:v>https://zh.wikisource.org/zh-hant/%E5%91%A8%E6%98%93/%E5%90%A6</x:v>
      </x:c>
      <x:c r="R7" s="21" t="str"/>
      <x:c r="S7" s="21" t="str">
        <x:v>闭塞、上下不交、结构失灵与守住底线。</x:v>
      </x:c>
      <x:c r="T7" s="21" t="str">
        <x:v>问题不一定来自单个行动失误，而可能是环境、权责或沟通结构本身暂时无法承载正常推进。</x:v>
      </x:c>
      <x:c r="U7" s="21" t="str">
        <x:v>识别真正的结构性阻塞；停止无效消耗；保留核心资源；坚持基本原则；等待或创造沟通结构改变。</x:v>
      </x:c>
      <x:c r="V7" s="21" t="str">
        <x:v>为求短期通行而放弃底线，反复向失效系统投入，或把暂时闭塞理解成永远无解。</x:v>
      </x:c>
      <x:c r="W7" s="21" t="str">
        <x:v>先止损、收缩和保护关键资源，再评估是否存在可改变的结构条件；不宜用更大力气重复同一种无效方法。</x:v>
      </x:c>
      <x:c r="X7" s="21" t="str">
        <x:v>可说明沟通、信任或现实条件处于阻塞；不能断言对方不爱、背叛或关系永久结束。</x:v>
      </x:c>
      <x:c r="Y7" s="21" t="str">
        <x:v>可用于组织失灵、晋升通道受阻或资源不通的情境；不能断言必然失业、被排挤或永无机会。</x:v>
      </x:c>
      <x:c r="Z7" s="21" t="str">
        <x:v>提示合作结构或权责机制失效；不能仅凭卦象指控对方欺骗，应回到合同、履约和事实证据。</x:v>
      </x:c>
      <x:c r="AA7" s="21" t="str">
        <x:v>不得断言关系必然结束或对方已经变心；不得断言必然失业、破产或合作失败；不得把结构性阻塞归咎为某个人道德败坏；不得鼓励无期限等待或持续投入失效系统</x:v>
      </x:c>
      <x:c r="AB7" s="21" t="str">
        <x:v>NEGATIVE</x:v>
      </x:c>
      <x:c r="AC7" s="21" t="str">
        <x:v>STRONG</x:v>
      </x:c>
      <x:c r="AD7" s="21" t="str">
        <x:v>项目冻结卦辞漏有“否之匪人”四字；CTEXT与维基文库均包含该句。正式写回前必须先修正canonical原文及构建来源，不能只在审核卡中补字。</x:v>
      </x:c>
      <x:c r="AE7" s="21" t="str">
        <x:v>SOURCE_CORRECTION_REQUIRED；完成原文修正后再形成DRAFT候选。</x:v>
      </x:c>
    </x:row>
    <x:row r="8" ht="96" customHeight="1">
      <x:c r="A8" s="20" t="str">
        <x:v>H34</x:v>
      </x:c>
      <x:c r="B8" s="20" t="n">
        <x:v>34</x:v>
      </x:c>
      <x:c r="C8" s="20" t="str">
        <x:v>大壮</x:v>
      </x:c>
      <x:c r="D8" s="20" t="str">
        <x:v>震</x:v>
      </x:c>
      <x:c r="E8" s="20" t="str">
        <x:v>乾</x:v>
      </x:c>
      <x:c r="F8" s="20" t="str">
        <x:v>DRAFT</x:v>
      </x:c>
      <x:c r="G8" s="20" t="str">
        <x:v>READY_FOR_CONTENT_REVIEW</x:v>
      </x:c>
      <x:c r="H8" s="20" t="str">
        <x:v>利貞。</x:v>
      </x:c>
      <x:c r="I8" s="20" t="str">
        <x:v>利貞。</x:v>
      </x:c>
      <x:c r="J8" s="20" t="str">
        <x:v>利貞。</x:v>
      </x:c>
      <x:c r="K8" s="20" t="str">
        <x:v>自动字符比对未发现差异；仍需人工确认来源版本。</x:v>
      </x:c>
      <x:c r="L8" s="20" t="str">
        <x:v>否</x:v>
      </x:c>
      <x:c r="M8" s="20" t="str">
        <x:v>否</x:v>
      </x:c>
      <x:c r="N8" s="20" t="str">
        <x:v>否</x:v>
      </x:c>
      <x:c r="O8" s="20" t="str">
        <x:v>是</x:v>
      </x:c>
      <x:c r="P8" s="20" t="str">
        <x:v>https://ctext.org/book-of-changes/da-zhuang</x:v>
      </x:c>
      <x:c r="Q8" s="20" t="str">
        <x:v>https://zh.wikisource.org/zh-hant/%E5%91%A8%E6%98%93/%E5%A4%A7%E5%A3%AF</x:v>
      </x:c>
      <x:c r="R8" s="21" t="str"/>
      <x:c r="S8" s="21" t="str">
        <x:v>力量增长、行动能力增强，以及对力量的约束。</x:v>
      </x:c>
      <x:c r="T8" s="21" t="str">
        <x:v>当前可能拥有更大资源、影响力或行动冲动；机会与风险都来自“力量变强”这一事实。</x:v>
      </x:c>
      <x:c r="U8" s="21" t="str">
        <x:v>目标正当；规则明确；力量与责任匹配；能控制节奏；愿意听取制衡意见。</x:v>
      </x:c>
      <x:c r="V8" s="21" t="str">
        <x:v>用力过猛、越界控制、以强压弱、把速度当正确，或在阻力面前只会继续加力。</x:v>
      </x:c>
      <x:c r="W8" s="21" t="str">
        <x:v>可以行动，但先检查合法性、边界和承受后果；以可控的力量突破，不以冲动证明自己。</x:v>
      </x:c>
      <x:c r="X8" s="21" t="str">
        <x:v>可说明主动性或情绪力量增强；不能合理化逼迫、控制、纠缠或用强烈表达换取回应。</x:v>
      </x:c>
      <x:c r="Y8" s="21" t="str">
        <x:v>适合承担更大责任和推动难题；不能推断一定掌权、升职或竞争获胜。</x:v>
      </x:c>
      <x:c r="Z8" s="21" t="str">
        <x:v>有利于执行和攻坚，但必须有授权、制衡和退出机制，避免强势一方吞没合作关系。</x:v>
      </x:c>
      <x:c r="AA8" s="21" t="str">
        <x:v>不得把强势或控制解释为必然正确；不得鼓励逼迫对方回应或服从；不得承诺竞争、升职或谈判必胜；不得以力量增长替代合法性和边界判断</x:v>
      </x:c>
      <x:c r="AB8" s="21" t="str">
        <x:v>MIXED</x:v>
      </x:c>
      <x:c r="AC8" s="21" t="str">
        <x:v>MEDIUM</x:v>
      </x:c>
      <x:c r="AD8" s="21" t="str">
        <x:v>卦辞只有“利贞”，重点是力量受正道约束；因此方向设为MIXED而非无条件POSITIVE。</x:v>
      </x:c>
      <x:c r="AE8" s="21" t="str">
        <x:v>建议形成DRAFT候选，待产品负责人确认语气后再进入REVIEWED。</x:v>
      </x:c>
    </x:row>
    <x:row r="9" ht="96" customHeight="1">
      <x:c r="A9" s="20" t="str">
        <x:v>H55</x:v>
      </x:c>
      <x:c r="B9" s="20" t="n">
        <x:v>55</x:v>
      </x:c>
      <x:c r="C9" s="20" t="str">
        <x:v>丰</x:v>
      </x:c>
      <x:c r="D9" s="20" t="str">
        <x:v>震</x:v>
      </x:c>
      <x:c r="E9" s="20" t="str">
        <x:v>离</x:v>
      </x:c>
      <x:c r="F9" s="20" t="str">
        <x:v>DRAFT</x:v>
      </x:c>
      <x:c r="G9" s="20" t="str">
        <x:v>READY_FOR_CONTENT_REVIEW</x:v>
      </x:c>
      <x:c r="H9" s="20" t="str">
        <x:v>亨，王假之，勿憂，宜日中。</x:v>
      </x:c>
      <x:c r="I9" s="20" t="str">
        <x:v>亨，王假之，勿憂，宜日中。</x:v>
      </x:c>
      <x:c r="J9" s="20" t="str">
        <x:v>亨。王假之，勿憂，宜日中。</x:v>
      </x:c>
      <x:c r="K9" s="20" t="str">
        <x:v>仅检测到标点或空白差异；仍需人工确认。</x:v>
      </x:c>
      <x:c r="L9" s="20" t="str">
        <x:v>是</x:v>
      </x:c>
      <x:c r="M9" s="20" t="str">
        <x:v>否</x:v>
      </x:c>
      <x:c r="N9" s="20" t="str">
        <x:v>否</x:v>
      </x:c>
      <x:c r="O9" s="20" t="str">
        <x:v>是</x:v>
      </x:c>
      <x:c r="P9" s="20" t="str">
        <x:v>https://ctext.org/book-of-changes/feng</x:v>
      </x:c>
      <x:c r="Q9" s="20" t="str">
        <x:v>https://zh.wikisource.org/zh-hant/%E5%91%A8%E6%98%93/%E8%B1%90</x:v>
      </x:c>
      <x:c r="R9" s="21" t="str"/>
      <x:c r="S9" s="21" t="str">
        <x:v>盛大、聚光、高峰期的决断与防止遮蔽。</x:v>
      </x:c>
      <x:c r="T9" s="21" t="str">
        <x:v>事情能见度高、资源多或节奏快，机会明显，但复杂度与信息遮蔽也同步增加。</x:v>
      </x:c>
      <x:c r="U9" s="21" t="str">
        <x:v>核心负责人到位；信息公开；决策及时；抓住高峰窗口；提前安排高峰后的维护和收缩。</x:v>
      </x:c>
      <x:c r="V9" s="21" t="str">
        <x:v>被表面繁盛迷惑、信息被遮挡、决策拖延、过度乐观，或把高峰当成永久状态。</x:v>
      </x:c>
      <x:c r="W9" s="21" t="str">
        <x:v>可以推进和集中资源，但必须提高透明度、缩短反馈周期，并准备高峰后的承接方案。</x:v>
      </x:c>
      <x:c r="X9" s="21" t="str">
        <x:v>可说明互动强度、关注度或事件密度上升；不能断言感情必然达到圆满或对方真实心意。</x:v>
      </x:c>
      <x:c r="Y9" s="21" t="str">
        <x:v>可用于高曝光、大项目、成果集中期；不能承诺名望、收入或职位一定增长。</x:v>
      </x:c>
      <x:c r="Z9" s="21" t="str">
        <x:v>适合在信息透明、负责人清楚时集中推进；应防规模扩大掩盖内部问题。</x:v>
      </x:c>
      <x:c r="AA9" s="21" t="str">
        <x:v>不得把丰盛解释为长期无风险；不得承诺财富、名望或关系结果必然达到高峰；不得忽略信息遮蔽和高峰后的回落；不得以“勿忧”否定真实风险</x:v>
      </x:c>
      <x:c r="AB9" s="21" t="str">
        <x:v>POSITIVE</x:v>
      </x:c>
      <x:c r="AC9" s="21" t="str">
        <x:v>MEDIUM</x:v>
      </x:c>
      <x:c r="AD9" s="21" t="str">
        <x:v>保留卦辞的积极方向，同时把“宜日中”解释为高峰期的清明、公开和及时，不映射具体时间。</x:v>
      </x:c>
      <x:c r="AE9" s="21" t="str">
        <x:v>建议形成DRAFT候选，待产品负责人确认语气后再进入REVIEWED。</x:v>
      </x:c>
    </x:row>
  </x:sheetData>
  <x:conditionalFormatting sqref="G2:G9">
    <x:cfRule type="containsText" dxfId="0" priority="1" operator="containsText" text="SOURCE_VARIANT_REQUIRES_REVIEW"/>
  </x:conditionalFormatting>
  <x:dataValidations count="1">
    <x:dataValidation type="list" sqref="G2:G9">
      <x:formula1>"PENDING_HUMAN_REVIEW,SOURCE_VARIANT_REQUIRES_REVIEW,READY_FOR_CONTENT_REVIEW,RETURNED_FOR_REVISION,HUMAN_REVIEW_COMPLETE"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cae0a249d648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16" hidden="0" customWidth="1"/>
    <x:col min="9" max="9" width="30" hidden="0" customWidth="1"/>
    <x:col min="10" max="10" width="44" hidden="0" customWidth="1"/>
    <x:col min="11" max="11" width="44" hidden="0" customWidth="1"/>
    <x:col min="12" max="12" width="44" hidden="0" customWidth="1"/>
    <x:col min="13" max="13" width="34" hidden="0" customWidth="1"/>
    <x:col min="14" max="14" width="10" hidden="0" customWidth="1"/>
    <x:col min="15" max="15" width="14" hidden="0" customWidth="1"/>
    <x:col min="16" max="16" width="10" hidden="0" customWidth="1"/>
    <x:col min="17" max="17" width="10" hidden="0" customWidth="1"/>
    <x:col min="18" max="18" width="38" hidden="0" customWidth="1"/>
    <x:col min="19" max="19" width="38" hidden="0" customWidth="1"/>
    <x:col min="20" max="20" width="28" hidden="0" customWidth="1"/>
    <x:col min="21" max="21" width="28" hidden="0" customWidth="1"/>
    <x:col min="22" max="22" width="24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4" hidden="0" customWidth="1"/>
    <x:col min="33" max="33" width="18" hidden="0" customWidth="1"/>
    <x:col min="34" max="34" width="28" hidden="0" customWidth="1"/>
  </x:cols>
  <x:sheetData>
    <x:row r="1" ht="34" customHeight="1">
      <x:c r="A1" s="6" t="str">
        <x:v>Item ID</x:v>
      </x:c>
      <x:c r="B1" s="6" t="str">
        <x:v>卦序</x:v>
      </x:c>
      <x:c r="C1" s="6" t="str">
        <x:v>卦名</x:v>
      </x:c>
      <x:c r="D1" s="6" t="str">
        <x:v>上卦</x:v>
      </x:c>
      <x:c r="E1" s="6" t="str">
        <x:v>下卦</x:v>
      </x:c>
      <x:c r="F1" s="6" t="str">
        <x:v>爻位</x:v>
      </x:c>
      <x:c r="G1" s="6" t="str">
        <x:v>爻名</x:v>
      </x:c>
      <x:c r="H1" s="6" t="str">
        <x:v>正式状态</x:v>
      </x:c>
      <x:c r="I1" s="6" t="str">
        <x:v>工作台状态</x:v>
      </x:c>
      <x:c r="J1" s="6" t="str">
        <x:v>项目冻结爻辞</x:v>
      </x:c>
      <x:c r="K1" s="6" t="str">
        <x:v>Chinese Text Project</x:v>
      </x:c>
      <x:c r="L1" s="6" t="str">
        <x:v>维基文库</x:v>
      </x:c>
      <x:c r="M1" s="6" t="str">
        <x:v>异文说明</x:v>
      </x:c>
      <x:c r="N1" s="6" t="str">
        <x:v>标点差异</x:v>
      </x:c>
      <x:c r="O1" s="6" t="str">
        <x:v>简繁/规范化差异</x:v>
      </x:c>
      <x:c r="P1" s="6" t="str">
        <x:v>实质异文</x:v>
      </x:c>
      <x:c r="Q1" s="6" t="str">
        <x:v>人工复核</x:v>
      </x:c>
      <x:c r="R1" s="6" t="str">
        <x:v>CTEXT URL</x:v>
      </x:c>
      <x:c r="S1" s="6" t="str">
        <x:v>WIKISOURCE URL</x:v>
      </x:c>
      <x:c r="T1" s="6" t="str">
        <x:v>白话直译</x:v>
      </x:c>
      <x:c r="U1" s="6" t="str">
        <x:v>爻位阶段关系</x:v>
      </x:c>
      <x:c r="V1" s="6" t="str">
        <x:v>核心主题</x:v>
      </x:c>
      <x:c r="W1" s="6" t="str">
        <x:v>情境模式</x:v>
      </x:c>
      <x:c r="X1" s="6" t="str">
        <x:v>有利条件</x:v>
      </x:c>
      <x:c r="Y1" s="6" t="str">
        <x:v>风险条件</x:v>
      </x:c>
      <x:c r="Z1" s="6" t="str">
        <x:v>行动倾向</x:v>
      </x:c>
      <x:c r="AA1" s="6" t="str">
        <x:v>感情边界</x:v>
      </x:c>
      <x:c r="AB1" s="6" t="str">
        <x:v>职业边界</x:v>
      </x:c>
      <x:c r="AC1" s="6" t="str">
        <x:v>合作边界</x:v>
      </x:c>
      <x:c r="AD1" s="6" t="str">
        <x:v>禁止推断</x:v>
      </x:c>
      <x:c r="AE1" s="6" t="str">
        <x:v>证据方向</x:v>
      </x:c>
      <x:c r="AF1" s="6" t="str">
        <x:v>证据强度</x:v>
      </x:c>
      <x:c r="AG1" s="6" t="str">
        <x:v>审核备注</x:v>
      </x:c>
      <x:c r="AH1" s="6" t="str">
        <x:v>审核决定</x:v>
      </x:c>
    </x:row>
    <x:row r="2" ht="96" customHeight="1">
      <x:c r="A2" s="20" t="str">
        <x:v>H01-L1</x:v>
      </x:c>
      <x:c r="B2" s="20" t="n">
        <x:v>1</x:v>
      </x:c>
      <x:c r="C2" s="20" t="str">
        <x:v>乾</x:v>
      </x:c>
      <x:c r="D2" s="20" t="str">
        <x:v>乾</x:v>
      </x:c>
      <x:c r="E2" s="20" t="str">
        <x:v>乾</x:v>
      </x:c>
      <x:c r="F2" s="20" t="n">
        <x:v>1</x:v>
      </x:c>
      <x:c r="G2" s="20" t="str">
        <x:v>初</x:v>
      </x:c>
      <x:c r="H2" s="20" t="str">
        <x:v>DRAFT</x:v>
      </x:c>
      <x:c r="I2" s="20" t="str">
        <x:v>READY_FOR_CONTENT_REVIEW</x:v>
      </x:c>
      <x:c r="J2" s="20" t="str">
        <x:v>潛龍勿用。</x:v>
      </x:c>
      <x:c r="K2" s="20" t="str">
        <x:v>潛龍，勿用。</x:v>
      </x:c>
      <x:c r="L2" s="20" t="str">
        <x:v>潛龍勿用。</x:v>
      </x:c>
      <x:c r="M2" s="20" t="str">
        <x:v>仅检测到标点或空白差异；仍需人工确认。</x:v>
      </x:c>
      <x:c r="N2" s="20" t="str">
        <x:v>是</x:v>
      </x:c>
      <x:c r="O2" s="20" t="str">
        <x:v>否</x:v>
      </x:c>
      <x:c r="P2" s="20" t="str">
        <x:v>否</x:v>
      </x:c>
      <x:c r="Q2" s="20" t="str">
        <x:v>是</x:v>
      </x:c>
      <x:c r="R2" s="20" t="str">
        <x:v>https://ctext.org/book-of-changes/qian</x:v>
      </x:c>
      <x:c r="S2" s="20" t="str">
        <x:v>https://zh.wikisource.org/zh-hant/%E5%91%A8%E6%98%93/%E4%B9%BE</x:v>
      </x:c>
      <x:c r="T2" s="21" t="str">
        <x:v>力量仍处在潜藏、积累的位置，现在不是公开施展或强行推进的时候。</x:v>
      </x:c>
      <x:c r="U2" s="21" t="str">
        <x:v>初爻对应萌芽阶段；能力或意愿可能已经存在，但尚未进入适合承担外部结果的位置。</x:v>
      </x:c>
      <x:c r="V2" s="21" t="str">
        <x:v>潜藏蓄力、等待条件、暂不显用。</x:v>
      </x:c>
      <x:c r="W2" s="21" t="str">
        <x:v>事情刚开始，外部条件、身份、能力或支持尚不足以承载全面行动。</x:v>
      </x:c>
      <x:c r="X2" s="21" t="str">
        <x:v>继续准备；积累能力和证据；观察环境；设定启动条件；不因暂时沉默否定长期潜力。</x:v>
      </x:c>
      <x:c r="Y2" s="21" t="str">
        <x:v>为了证明自己而过早暴露、承诺或推进；把等待变成消极拖延；反复起卦替代准备。</x:v>
      </x:c>
      <x:c r="Z2" s="21" t="str">
        <x:v>暂缓公开或高成本行动，把重点放在准备、验证和等待明确启动信号。</x:v>
      </x:c>
      <x:c r="AA2" s="21" t="str">
        <x:v>可提示不宜急于表白、逼问或要求承诺；不能断言对方在暗中爱你或未来一定出现。</x:v>
      </x:c>
      <x:c r="AB2" s="21" t="str">
        <x:v>可提示暂不贸然跳槽、创业或公开竞争；不能解释为永远没有机会。</x:v>
      </x:c>
      <x:c r="AC2" s="21" t="str">
        <x:v>合作尚宜尽调、试探和准备，不宜过早绑定资源或做不可逆承诺。</x:v>
      </x:c>
      <x:c r="AD2" s="21" t="str">
        <x:v>不得断言对方在隐藏感情；不得承诺等待后必然成功；不得把“勿用”解释为永久不行动；不得以卦象代替现实启动条件</x:v>
      </x:c>
      <x:c r="AE2" s="21" t="str">
        <x:v>MIXED</x:v>
      </x:c>
      <x:c r="AF2" s="21" t="str">
        <x:v>STRONG</x:v>
      </x:c>
      <x:c r="AG2" s="21" t="str">
        <x:v>“勿用”是阶段性行动限制，不是对人的否定，也不是长期结果判断。</x:v>
      </x:c>
      <x:c r="AH2" s="21" t="str">
        <x:v>建议形成DRAFT候选，待产品负责人确认语气后再进入REVIEWED。</x:v>
      </x:c>
    </x:row>
    <x:row r="3" ht="96" customHeight="1">
      <x:c r="A3" s="20" t="str">
        <x:v>H02-L6</x:v>
      </x:c>
      <x:c r="B3" s="20" t="n">
        <x:v>2</x:v>
      </x:c>
      <x:c r="C3" s="20" t="str">
        <x:v>坤</x:v>
      </x:c>
      <x:c r="D3" s="20" t="str">
        <x:v>坤</x:v>
      </x:c>
      <x:c r="E3" s="20" t="str">
        <x:v>坤</x:v>
      </x:c>
      <x:c r="F3" s="20" t="n">
        <x:v>6</x:v>
      </x:c>
      <x:c r="G3" s="20" t="str">
        <x:v>上</x:v>
      </x:c>
      <x:c r="H3" s="20" t="str">
        <x:v>DRAFT</x:v>
      </x:c>
      <x:c r="I3" s="20" t="str">
        <x:v>READY_FOR_CONTENT_REVIEW</x:v>
      </x:c>
      <x:c r="J3" s="20" t="str">
        <x:v>龍戰于野，其血玄黃。</x:v>
      </x:c>
      <x:c r="K3" s="20" t="str">
        <x:v>龍戰于野，其血玄黃。</x:v>
      </x:c>
      <x:c r="L3" s="20" t="str">
        <x:v>龍戰于野，其血玄黃。</x:v>
      </x:c>
      <x:c r="M3" s="20" t="str">
        <x:v>自动字符比对未发现差异；仍需人工确认来源版本。</x:v>
      </x:c>
      <x:c r="N3" s="20" t="str">
        <x:v>否</x:v>
      </x:c>
      <x:c r="O3" s="20" t="str">
        <x:v>否</x:v>
      </x:c>
      <x:c r="P3" s="20" t="str">
        <x:v>否</x:v>
      </x:c>
      <x:c r="Q3" s="20" t="str">
        <x:v>是</x:v>
      </x:c>
      <x:c r="R3" s="20" t="str">
        <x:v>https://ctext.org/book-of-changes/kun</x:v>
      </x:c>
      <x:c r="S3" s="20" t="str">
        <x:v>https://zh.wikisource.org/zh-hant/%E5%91%A8%E6%98%93/%E5%9D%A4</x:v>
      </x:c>
      <x:c r="T3" s="21" t="str">
        <x:v>顺承之势走到极端后，与相反力量在外部正面冲突，双方都会付出明显代价。</x:v>
      </x:c>
      <x:c r="U3" s="21" t="str">
        <x:v>上爻对应末端或过度阶段；原本可承载、顺势的方式已经越过边界，冲突进入难以回避的末端。</x:v>
      </x:c>
      <x:c r="V3" s="21" t="str">
        <x:v>柔顺过度后的对抗、边界失守与双方受损。</x:v>
      </x:c>
      <x:c r="W3" s="21" t="str">
        <x:v>长期压抑、角色混乱或力量失衡累积到顶点，原本隐藏的矛盾公开爆发。</x:v>
      </x:c>
      <x:c r="X3" s="21" t="str">
        <x:v>尽早恢复边界；降低正面对撞；引入第三方规则或退出机制；承认双方损耗并停止升级。</x:v>
      </x:c>
      <x:c r="Y3" s="21" t="str">
        <x:v>继续争夺唯一正确或唯一主导位置；把忍耐突然转成全面报复；忽视冲突的双向代价。</x:v>
      </x:c>
      <x:c r="Z3" s="21" t="str">
        <x:v>不宜继续升级冲突；应优先止损、分隔边界、明确规则，并评估是否需要退出。</x:v>
      </x:c>
      <x:c r="AA3" s="21" t="str">
        <x:v>可提示长期压抑后的激烈冲突风险；不能断言家暴、出轨、分手或某一方恶意。</x:v>
      </x:c>
      <x:c r="AB3" s="21" t="str">
        <x:v>可提示权责冲突、组织对抗或承载过度；不能断言必然被辞退或斗争失败。</x:v>
      </x:c>
      <x:c r="AC3" s="21" t="str">
        <x:v>适合立即核查权责、损失和退出条款；不能用卦象指控一方违法或欺诈。</x:v>
      </x:c>
      <x:c r="AD3" s="21" t="str">
        <x:v>不得断言必然发生暴力或流血事件；不得断言关系、工作或合作必然终结；不得把某一方定性为邪恶或背叛；不得鼓励报复、威胁或继续升级冲突</x:v>
      </x:c>
      <x:c r="AE3" s="21" t="str">
        <x:v>NEGATIVE</x:v>
      </x:c>
      <x:c r="AF3" s="21" t="str">
        <x:v>STRONG</x:v>
      </x:c>
      <x:c r="AG3" s="21" t="str">
        <x:v>“其血玄黄”按双方受损的象征处理，不作身体伤害或灾祸预言。</x:v>
      </x:c>
      <x:c r="AH3" s="21" t="str">
        <x:v>建议形成DRAFT候选，待产品负责人确认语气后再进入REVIEWED。</x:v>
      </x:c>
    </x:row>
    <x:row r="4" ht="96" customHeight="1">
      <x:c r="A4" s="20" t="str">
        <x:v>H03-L1</x:v>
      </x:c>
      <x:c r="B4" s="20" t="n">
        <x:v>3</x:v>
      </x:c>
      <x:c r="C4" s="20" t="str">
        <x:v>屯</x:v>
      </x:c>
      <x:c r="D4" s="20" t="str">
        <x:v>坎</x:v>
      </x:c>
      <x:c r="E4" s="20" t="str">
        <x:v>震</x:v>
      </x:c>
      <x:c r="F4" s="20" t="n">
        <x:v>1</x:v>
      </x:c>
      <x:c r="G4" s="20" t="str">
        <x:v>初</x:v>
      </x:c>
      <x:c r="H4" s="20" t="str">
        <x:v>DRAFT</x:v>
      </x:c>
      <x:c r="I4" s="20" t="str">
        <x:v>READY_FOR_CONTENT_REVIEW</x:v>
      </x:c>
      <x:c r="J4" s="20" t="str">
        <x:v>磐桓，利居貞，利建侯。</x:v>
      </x:c>
      <x:c r="K4" s="20" t="str">
        <x:v>磐桓；利居貞，利建侯。</x:v>
      </x:c>
      <x:c r="L4" s="20" t="str">
        <x:v>磐桓，利居貞，利建侯。</x:v>
      </x:c>
      <x:c r="M4" s="20" t="str">
        <x:v>仅检测到标点或空白差异；仍需人工确认。</x:v>
      </x:c>
      <x:c r="N4" s="20" t="str">
        <x:v>是</x:v>
      </x:c>
      <x:c r="O4" s="20" t="str">
        <x:v>否</x:v>
      </x:c>
      <x:c r="P4" s="20" t="str">
        <x:v>否</x:v>
      </x:c>
      <x:c r="Q4" s="20" t="str">
        <x:v>是</x:v>
      </x:c>
      <x:c r="R4" s="20" t="str">
        <x:v>https://ctext.org/book-of-changes/zhun</x:v>
      </x:c>
      <x:c r="S4" s="20" t="str">
        <x:v>https://zh.wikisource.org/zh-hant/%E5%91%A8%E6%98%93/%E5%B1%AF</x:v>
      </x:c>
      <x:c r="T4" s="21" t="str">
        <x:v>起步时徘徊受阻，适合停下来守住正道，并建立能够承担责任的组织或支持者。</x:v>
      </x:c>
      <x:c r="U4" s="21" t="str">
        <x:v>初爻对应萌芽阶段；阻力出现在最初起点，重点是稳定根基，而不是用更大动作跨过尚未解决的问题。</x:v>
      </x:c>
      <x:c r="V4" s="21" t="str">
        <x:v>起步受阻、稳住位置、建立负责人和基础秩序。</x:v>
      </x:c>
      <x:c r="W4" s="21" t="str">
        <x:v>行动意愿已有，但方向、资源或组织结构尚不稳，贸然前进容易重复受阻。</x:v>
      </x:c>
      <x:c r="X4" s="21" t="str">
        <x:v>缩小范围；明确负责人；建立基本规则；获得支持；允许小规模验证。</x:v>
      </x:c>
      <x:c r="Y4" s="21" t="str">
        <x:v>焦虑驱动的频繁变向；把暂缓误解为失败；在无人负责、资源不足时继续扩张。</x:v>
      </x:c>
      <x:c r="Z4" s="21" t="str">
        <x:v>先停、先定、先组建，再推进；当前最有价值的动作是建立可持续起点。</x:v>
      </x:c>
      <x:c r="AA4" s="21" t="str">
        <x:v>可提示关系起步不顺、双方尚未形成稳定互动；不能承诺只要坚持就会发展。</x:v>
      </x:c>
      <x:c r="AB4" s="21" t="str">
        <x:v>适合先确认岗位、资源和汇报关系；不能把“建侯”预测为升职或遇到贵人。</x:v>
      </x:c>
      <x:c r="AC4" s="21" t="str">
        <x:v>先确定牵头人、决策权和基本协议，再投入更多资源。</x:v>
      </x:c>
      <x:c r="AD4" s="21" t="str">
        <x:v>不得把徘徊解释为对方故意吊着你；不得承诺坚持就必然成功；不得把“建侯”解释为职位或贵人预测；不得鼓励在基础未稳时扩大投入</x:v>
      </x:c>
      <x:c r="AE4" s="21" t="str">
        <x:v>MIXED</x:v>
      </x:c>
      <x:c r="AF4" s="21" t="str">
        <x:v>STRONG</x:v>
      </x:c>
      <x:c r="AG4" s="21" t="str">
        <x:v>初爻与屯卦整体一致：先立基础。内容不把暂缓等同消极不作为。</x:v>
      </x:c>
      <x:c r="AH4" s="21" t="str">
        <x:v>建议形成DRAFT候选，待产品负责人确认语气后再进入REVIEWED。</x:v>
      </x:c>
    </x:row>
    <x:row r="5" ht="96" customHeight="1">
      <x:c r="A5" s="20" t="str">
        <x:v>H04-L1</x:v>
      </x:c>
      <x:c r="B5" s="20" t="n">
        <x:v>4</x:v>
      </x:c>
      <x:c r="C5" s="20" t="str">
        <x:v>蒙</x:v>
      </x:c>
      <x:c r="D5" s="20" t="str">
        <x:v>艮</x:v>
      </x:c>
      <x:c r="E5" s="20" t="str">
        <x:v>坎</x:v>
      </x:c>
      <x:c r="F5" s="20" t="n">
        <x:v>1</x:v>
      </x:c>
      <x:c r="G5" s="20" t="str">
        <x:v>初</x:v>
      </x:c>
      <x:c r="H5" s="20" t="str">
        <x:v>DRAFT</x:v>
      </x:c>
      <x:c r="I5" s="20" t="str">
        <x:v>READY_FOR_CONTENT_REVIEW</x:v>
      </x:c>
      <x:c r="J5" s="20" t="str">
        <x:v>發蒙。利用刑人，用說桎梏，以往吝。</x:v>
      </x:c>
      <x:c r="K5" s="20" t="str">
        <x:v>發蒙，利用刑人，用說桎梏，以往吝。</x:v>
      </x:c>
      <x:c r="L5" s="20" t="str">
        <x:v>發蒙，利用刑人，用說桎梏，以往吝。</x:v>
      </x:c>
      <x:c r="M5" s="20" t="str">
        <x:v>仅检测到标点或空白差异；仍需人工确认。</x:v>
      </x:c>
      <x:c r="N5" s="20" t="str">
        <x:v>是</x:v>
      </x:c>
      <x:c r="O5" s="20" t="str">
        <x:v>否</x:v>
      </x:c>
      <x:c r="P5" s="20" t="str">
        <x:v>否</x:v>
      </x:c>
      <x:c r="Q5" s="20" t="str">
        <x:v>是</x:v>
      </x:c>
      <x:c r="R5" s="20" t="str">
        <x:v>https://ctext.org/book-of-changes/meng</x:v>
      </x:c>
      <x:c r="S5" s="20" t="str">
        <x:v>https://zh.wikisource.org/zh-hant/%E5%91%A8%E6%98%93/%E8%92%99</x:v>
      </x:c>
      <x:c r="T5" s="21" t="str">
        <x:v>启发蒙昧之初，需要建立清楚的规则和必要约束，同时解除妨碍学习与行动的束缚；若只靠惩戒一路推行，最终会有遗憾。</x:v>
      </x:c>
      <x:c r="U5" s="21" t="str">
        <x:v>初爻对应萌芽阶段；最初要先立边界、纠正基本错误，但目的应是使人恢复自主和学习能力，而不是持续控制。</x:v>
      </x:c>
      <x:c r="V5" s="21" t="str">
        <x:v>启蒙初期的规则、纠偏与解除束缚。</x:v>
      </x:c>
      <x:c r="W5" s="21" t="str">
        <x:v>问题刚暴露，基本规范缺失；需要明确后果和边界，但过度惩罚会让事情失去教育和改善意义。</x:v>
      </x:c>
      <x:c r="X5" s="21" t="str">
        <x:v>规则具体；后果适度；解释原因；提供改正路径；最终目标是解除限制和恢复能力。</x:v>
      </x:c>
      <x:c r="Y5" s="21" t="str">
        <x:v>把“刑人”字面化为羞辱、惩罚或暴力；依靠控制替代教育；纠错后仍不允许对方自主。</x:v>
      </x:c>
      <x:c r="Z5" s="21" t="str">
        <x:v>先立清楚边界和后果，再提供学习、改正和解除限制的路径；不宜把惩罚本身当解决方案。</x:v>
      </x:c>
      <x:c r="AA5" s="21" t="str">
        <x:v>可提示关系中需要明确边界和停止反复错误；不能合理化控制、羞辱、冷暴力或身体惩罚。</x:v>
      </x:c>
      <x:c r="AB5" s="21" t="str">
        <x:v>可用于新人训练、纪律纠偏和流程整改；不能支持侮辱式管理或无限加码处罚。</x:v>
      </x:c>
      <x:c r="AC5" s="21" t="str">
        <x:v>应明确违约规则和修复路径；不能把严厉当成专业，也不能用卦象替代法律程序。</x:v>
      </x:c>
      <x:c r="AD5" s="21" t="str">
        <x:v>不得把“刑人”解释为允许身体或精神惩罚；不得鼓励羞辱、控制或剥夺他人自主；不得断言对方只能靠强制才会改变；不得把规则建设变成无限期束缚</x:v>
      </x:c>
      <x:c r="AE5" s="21" t="str">
        <x:v>MIXED</x:v>
      </x:c>
      <x:c r="AF5" s="21" t="str">
        <x:v>STRONG</x:v>
      </x:c>
      <x:c r="AG5" s="21" t="str">
        <x:v>“说桎梏”中的“说”按脱、解除理解；整条强调约束服务于启蒙，而非惩罚本身。</x:v>
      </x:c>
      <x:c r="AH5" s="21" t="str">
        <x:v>建议形成DRAFT候选，待产品负责人确认语气后再进入REVIEWED。</x:v>
      </x:c>
    </x:row>
    <x:row r="6" ht="96" customHeight="1">
      <x:c r="A6" s="20" t="str">
        <x:v>H11-L3</x:v>
      </x:c>
      <x:c r="B6" s="20" t="n">
        <x:v>11</x:v>
      </x:c>
      <x:c r="C6" s="20" t="str">
        <x:v>泰</x:v>
      </x:c>
      <x:c r="D6" s="20" t="str">
        <x:v>坤</x:v>
      </x:c>
      <x:c r="E6" s="20" t="str">
        <x:v>乾</x:v>
      </x:c>
      <x:c r="F6" s="20" t="n">
        <x:v>3</x:v>
      </x:c>
      <x:c r="G6" s="20" t="str">
        <x:v>三</x:v>
      </x:c>
      <x:c r="H6" s="20" t="str">
        <x:v>DRAFT</x:v>
      </x:c>
      <x:c r="I6" s="20" t="str">
        <x:v>READY_FOR_CONTENT_REVIEW</x:v>
      </x:c>
      <x:c r="J6" s="20" t="str">
        <x:v>无平不陂，无往不復。艱貞无咎。勿恤其孚，于食有福。</x:v>
      </x:c>
      <x:c r="K6" s="20" t="str">
        <x:v>无平不陂，无往不復，艱貞无咎。勿恤其孚，于食有福。</x:v>
      </x:c>
      <x:c r="L6" s="20" t="str">
        <x:v>无平不陂，无往不復，艱貞无咎。勿恤其孚，于食有福。</x:v>
      </x:c>
      <x:c r="M6" s="20" t="str">
        <x:v>仅检测到标点或空白差异；仍需人工确认。</x:v>
      </x:c>
      <x:c r="N6" s="20" t="str">
        <x:v>是</x:v>
      </x:c>
      <x:c r="O6" s="20" t="str">
        <x:v>否</x:v>
      </x:c>
      <x:c r="P6" s="20" t="str">
        <x:v>否</x:v>
      </x:c>
      <x:c r="Q6" s="20" t="str">
        <x:v>是</x:v>
      </x:c>
      <x:c r="R6" s="20" t="str">
        <x:v>https://ctext.org/book-of-changes/tai</x:v>
      </x:c>
      <x:c r="S6" s="20" t="str">
        <x:v>https://zh.wikisource.org/zh-hant/%E5%91%A8%E6%98%93/%E6%B3%B0</x:v>
      </x:c>
      <x:c r="T6" s="21" t="str">
        <x:v>没有永远平坦的道路，也没有只去不回的趋势；在变化临近时保持艰难中的守正，便可避免过失，并能安然承受所得。</x:v>
      </x:c>
      <x:c r="U6" s="21" t="str">
        <x:v>三爻对应内部临界阶段；泰势仍在，但已经接近由顺转变的边界，必须在顺境中提前看见回落。</x:v>
      </x:c>
      <x:c r="V6" s="21" t="str">
        <x:v>顺境中的周期意识、守正与预防转折。</x:v>
      </x:c>
      <x:c r="W6" s="21" t="str">
        <x:v>事情总体仍较顺利，但内部已经出现周期变化信号；真正的风险是把当前优势当成永久状态。</x:v>
      </x:c>
      <x:c r="X6" s="21" t="str">
        <x:v>提前复盘；留有余地；降低过度扩张；守住核心原则；接受阶段性回落。</x:v>
      </x:c>
      <x:c r="Y6" s="21" t="str">
        <x:v>沉迷顺境、透支资源、忽略小问题，或一见回落便恐慌和全面否定此前成果。</x:v>
      </x:c>
      <x:c r="Z6" s="21" t="str">
        <x:v>继续推进但收紧风险控制，建立回调方案；不必因变化焦虑，也不能假设顺利永不结束。</x:v>
      </x:c>
      <x:c r="AA6" s="21" t="str">
        <x:v>可提示关系有顺势但需维护和面对波动；不能断言一定由好转坏或必然分离。</x:v>
      </x:c>
      <x:c r="AB6" s="21" t="str">
        <x:v>适合在成绩期做风险复盘和资源储备；不能预测必然失势或降职。</x:v>
      </x:c>
      <x:c r="AC6" s="21" t="str">
        <x:v>合作顺利时应完善规则、退出和纠错机制，避免繁荣掩盖隐患。</x:v>
      </x:c>
      <x:c r="AD6" s="21" t="str">
        <x:v>不得断言顺境之后必然发生灾祸；不得把周期变化写成具体日期；不得因可能回落而否定当前成果；不得承诺只要守正就一定得到物质福报</x:v>
      </x:c>
      <x:c r="AE6" s="21" t="str">
        <x:v>MIXED</x:v>
      </x:c>
      <x:c r="AF6" s="21" t="str">
        <x:v>STRONG</x:v>
      </x:c>
      <x:c r="AG6" s="21" t="str">
        <x:v>“无平不陂，无往不复”按周期与边界解释；“于食有福”不作财富或食禄承诺。</x:v>
      </x:c>
      <x:c r="AH6" s="21" t="str">
        <x:v>建议形成DRAFT候选，待产品负责人确认语气后再进入REVIEWED。</x:v>
      </x:c>
    </x:row>
    <x:row r="7" ht="96" customHeight="1">
      <x:c r="A7" s="20" t="str">
        <x:v>H12-L5</x:v>
      </x:c>
      <x:c r="B7" s="20" t="n">
        <x:v>12</x:v>
      </x:c>
      <x:c r="C7" s="20" t="str">
        <x:v>否</x:v>
      </x:c>
      <x:c r="D7" s="20" t="str">
        <x:v>乾</x:v>
      </x:c>
      <x:c r="E7" s="20" t="str">
        <x:v>坤</x:v>
      </x:c>
      <x:c r="F7" s="20" t="n">
        <x:v>5</x:v>
      </x:c>
      <x:c r="G7" s="20" t="str">
        <x:v>五</x:v>
      </x:c>
      <x:c r="H7" s="20" t="str">
        <x:v>DRAFT</x:v>
      </x:c>
      <x:c r="I7" s="20" t="str">
        <x:v>READY_FOR_CONTENT_REVIEW</x:v>
      </x:c>
      <x:c r="J7" s="20" t="str">
        <x:v>休否，大人吉。其亡其亡，繫于苞桑。</x:v>
      </x:c>
      <x:c r="K7" s="20" t="str">
        <x:v>休否，大人吉。其亡其亡，繫于苞桑。</x:v>
      </x:c>
      <x:c r="L7" s="20" t="str">
        <x:v>休否，大人吉。其亡其亡，繫于苞桑。</x:v>
      </x:c>
      <x:c r="M7" s="20" t="str">
        <x:v>自动字符比对未发现差异；仍需人工确认来源版本。</x:v>
      </x:c>
      <x:c r="N7" s="20" t="str">
        <x:v>否</x:v>
      </x:c>
      <x:c r="O7" s="20" t="str">
        <x:v>否</x:v>
      </x:c>
      <x:c r="P7" s="20" t="str">
        <x:v>否</x:v>
      </x:c>
      <x:c r="Q7" s="20" t="str">
        <x:v>是</x:v>
      </x:c>
      <x:c r="R7" s="20" t="str">
        <x:v>https://ctext.org/book-of-changes/pi</x:v>
      </x:c>
      <x:c r="S7" s="20" t="str">
        <x:v>https://zh.wikisource.org/zh-hant/%E5%91%A8%E6%98%93/%E5%90%A6</x:v>
      </x:c>
      <x:c r="T7" s="21" t="str">
        <x:v>闭塞开始得到整顿，有能力承担责任的人可获得转机；但必须反复警惕局势重新失控，把安全系在牢固的根基上。</x:v>
      </x:c>
      <x:c r="U7" s="21" t="str">
        <x:v>五爻对应核心决断阶段；否势尚未完全结束，但关键位置已经出现扭转结构的能力，成败取决于警惕和稳固。</x:v>
      </x:c>
      <x:c r="V7" s="21" t="str">
        <x:v>扭转闭塞、核心责任与在转机中保持危机意识。</x:v>
      </x:c>
      <x:c r="W7" s="21" t="str">
        <x:v>事情出现改善窗口，但旧的结构风险仍在；真正的转机来自有能力者承担责任并加固基础。</x:v>
      </x:c>
      <x:c r="X7" s="21" t="str">
        <x:v>核心责任人明确；修复制度与沟通；保留危机意识；建立冗余、检查和止损机制。</x:v>
      </x:c>
      <x:c r="Y7" s="21" t="str">
        <x:v>刚见好转就放松；把个人能力当作永久保障；只处理表面症状而未加固根基。</x:v>
      </x:c>
      <x:c r="Z7" s="21" t="str">
        <x:v>可以推动修复，但必须边推进边加固；把“可能再失去”转化为制度、备份和风险检查。</x:v>
      </x:c>
      <x:c r="AA7" s="21" t="str">
        <x:v>可提示关系有修复窗口但仍需重建信任和稳定机制；不能断言必然复合或从此无事。</x:v>
      </x:c>
      <x:c r="AB7" s="21" t="str">
        <x:v>可提示组织或项目有转机，需要负责人和制度修复；不能承诺升职、翻盘或领导必然支持。</x:v>
      </x:c>
      <x:c r="AC7" s="21" t="str">
        <x:v>适合重谈规则、修复履约和加固保障；不能忽视历史违约与结构风险。</x:v>
      </x:c>
      <x:c r="AD7" s="21" t="str">
        <x:v>不得承诺闭塞一定结束或关系必然修复；不得把“大人吉”解释为某位权贵必然帮助；不得因出现转机而忽视风险检查；不得把“苞桑”解释为具体人物或地点</x:v>
      </x:c>
      <x:c r="AE7" s="21" t="str">
        <x:v>POSITIVE</x:v>
      </x:c>
      <x:c r="AF7" s="21" t="str">
        <x:v>STRONG</x:v>
      </x:c>
      <x:c r="AG7" s="21" t="str">
        <x:v>正向证据带有强烈警戒条件；应避免把“休否”直接写成已完全脱离困境。</x:v>
      </x:c>
      <x:c r="AH7" s="21" t="str">
        <x:v>建议形成DRAFT候选，待产品负责人确认语气后再进入REVIEWED。</x:v>
      </x:c>
    </x:row>
    <x:row r="8" ht="96" customHeight="1">
      <x:c r="A8" s="20" t="str">
        <x:v>H34-L4</x:v>
      </x:c>
      <x:c r="B8" s="20" t="n">
        <x:v>34</x:v>
      </x:c>
      <x:c r="C8" s="20" t="str">
        <x:v>大壮</x:v>
      </x:c>
      <x:c r="D8" s="20" t="str">
        <x:v>震</x:v>
      </x:c>
      <x:c r="E8" s="20" t="str">
        <x:v>乾</x:v>
      </x:c>
      <x:c r="F8" s="20" t="n">
        <x:v>4</x:v>
      </x:c>
      <x:c r="G8" s="20" t="str">
        <x:v>四</x:v>
      </x:c>
      <x:c r="H8" s="20" t="str">
        <x:v>DRAFT</x:v>
      </x:c>
      <x:c r="I8" s="20" t="str">
        <x:v>READY_FOR_CONTENT_REVIEW</x:v>
      </x:c>
      <x:c r="J8" s="20" t="str">
        <x:v>貞吉，悔亡，藩決不羸，壯于大輿之輹。</x:v>
      </x:c>
      <x:c r="K8" s="20" t="str">
        <x:v>貞吉悔亡，藩決不羸，壯于大輿之輹。</x:v>
      </x:c>
      <x:c r="L8" s="20" t="str">
        <x:v>貞吉悔亡，藩決不羸，壯于大輿之輹。</x:v>
      </x:c>
      <x:c r="M8" s="20" t="str">
        <x:v>仅检测到标点或空白差异；仍需人工确认。</x:v>
      </x:c>
      <x:c r="N8" s="20" t="str">
        <x:v>是</x:v>
      </x:c>
      <x:c r="O8" s="20" t="str">
        <x:v>否</x:v>
      </x:c>
      <x:c r="P8" s="20" t="str">
        <x:v>否</x:v>
      </x:c>
      <x:c r="Q8" s="20" t="str">
        <x:v>是</x:v>
      </x:c>
      <x:c r="R8" s="20" t="str">
        <x:v>https://ctext.org/book-of-changes/da-zhuang</x:v>
      </x:c>
      <x:c r="S8" s="20" t="str">
        <x:v>https://zh.wikisource.org/zh-hant/%E5%91%A8%E6%98%93/%E5%A4%A7%E5%A3%AF</x:v>
      </x:c>
      <x:c r="T8" s="21" t="str">
        <x:v>守正则吉，悔恨消失；前方藩篱打开，不再受牵制，力量能够由坚实的承载结构发挥出来。</x:v>
      </x:c>
      <x:c r="U8" s="21" t="str">
        <x:v>四爻对应外部转折阶段；力量从内部积累进入外部通行，能否顺利取决于正当性和承载系统，而非继续蛮力冲撞。</x:v>
      </x:c>
      <x:c r="V8" s="21" t="str">
        <x:v>障碍打开、力量获得通道、以结构承载行动。</x:v>
      </x:c>
      <x:c r="W8" s="21" t="str">
        <x:v>原有阻力正在松动，行动空间增加；此时需要用可靠工具、制度和资源承接力量。</x:v>
      </x:c>
      <x:c r="X8" s="21" t="str">
        <x:v>方向正当；授权清楚；基础结构可靠；障碍确已解除；行动与资源相匹配。</x:v>
      </x:c>
      <x:c r="Y8" s="21" t="str">
        <x:v>把暂时通行当成无限授权；继续用蛮力；低估承载系统的极限；在障碍未真正解除时贸然加速。</x:v>
      </x:c>
      <x:c r="Z8" s="21" t="str">
        <x:v>可以推进和扩大行动，但应依托可靠结构、清晰授权与边界，不用冲撞证明力量。</x:v>
      </x:c>
      <x:c r="AA8" s="21" t="str">
        <x:v>可提示沟通或行动障碍减轻；不能合理化强迫、纠缠或越过对方边界。</x:v>
      </x:c>
      <x:c r="AB8" s="21" t="str">
        <x:v>可提示项目获得通道、资源或授权；不能承诺升职、竞标成功或结果必胜。</x:v>
      </x:c>
      <x:c r="AC8" s="21" t="str">
        <x:v>适合在障碍解除后推进执行，但要确认合同、授权和承载能力真实存在。</x:v>
      </x:c>
      <x:c r="AD8" s="21" t="str">
        <x:v>不得解释为可以无边界强推；不得承诺竞争、谈判或项目必胜；不得把障碍打开等同对方无条件同意；不得忽略工具、制度和承载能力</x:v>
      </x:c>
      <x:c r="AE8" s="21" t="str">
        <x:v>POSITIVE</x:v>
      </x:c>
      <x:c r="AF8" s="21" t="str">
        <x:v>STRONG</x:v>
      </x:c>
      <x:c r="AG8" s="21" t="str">
        <x:v>“藩决不羸”强调障碍打开；“大舆之輹”按承载结构解释，不作交通或具体物象预测。</x:v>
      </x:c>
      <x:c r="AH8" s="21" t="str">
        <x:v>建议形成DRAFT候选，待产品负责人确认语气后再进入REVIEWED。</x:v>
      </x:c>
    </x:row>
    <x:row r="9" ht="96" customHeight="1">
      <x:c r="A9" s="20" t="str">
        <x:v>H55-L2</x:v>
      </x:c>
      <x:c r="B9" s="20" t="n">
        <x:v>55</x:v>
      </x:c>
      <x:c r="C9" s="20" t="str">
        <x:v>丰</x:v>
      </x:c>
      <x:c r="D9" s="20" t="str">
        <x:v>震</x:v>
      </x:c>
      <x:c r="E9" s="20" t="str">
        <x:v>离</x:v>
      </x:c>
      <x:c r="F9" s="20" t="n">
        <x:v>2</x:v>
      </x:c>
      <x:c r="G9" s="20" t="str">
        <x:v>二</x:v>
      </x:c>
      <x:c r="H9" s="20" t="str">
        <x:v>DRAFT</x:v>
      </x:c>
      <x:c r="I9" s="20" t="str">
        <x:v>READY_FOR_CONTENT_REVIEW</x:v>
      </x:c>
      <x:c r="J9" s="20" t="str">
        <x:v>豐其蔀，日中見斗。往得疑疾，有孚發若，吉。</x:v>
      </x:c>
      <x:c r="K9" s="20" t="str">
        <x:v>豐其蔀，日中見斗，往得疑疾，有孚發若，吉。</x:v>
      </x:c>
      <x:c r="L9" s="20" t="str">
        <x:v>豐其蔀，日中見斗，往得疑疾，有孚發若，吉。</x:v>
      </x:c>
      <x:c r="M9" s="20" t="str">
        <x:v>仅检测到标点或空白差异；仍需人工确认。</x:v>
      </x:c>
      <x:c r="N9" s="20" t="str">
        <x:v>是</x:v>
      </x:c>
      <x:c r="O9" s="20" t="str">
        <x:v>否</x:v>
      </x:c>
      <x:c r="P9" s="20" t="str">
        <x:v>否</x:v>
      </x:c>
      <x:c r="Q9" s="20" t="str">
        <x:v>是</x:v>
      </x:c>
      <x:c r="R9" s="20" t="str">
        <x:v>https://ctext.org/book-of-changes/feng</x:v>
      </x:c>
      <x:c r="S9" s="20" t="str">
        <x:v>https://zh.wikisource.org/zh-hant/%E5%91%A8%E6%98%93/%E8%B1%90</x:v>
      </x:c>
      <x:c r="T9" s="21" t="str">
        <x:v>遮蔽物厚重，即使在最明亮的时候也像能看见夜星；贸然前往容易遭到怀疑，只有以真实、可信的方式逐步澄清，才可能转为有利。</x:v>
      </x:c>
      <x:c r="U9" s="21" t="str">
        <x:v>二爻对应初步成形阶段；事情已有一定基础，但信息遮蔽和信任问题尚未解决，不适合靠强行推进换取确认。</x:v>
      </x:c>
      <x:c r="V9" s="21" t="str">
        <x:v>信息遮蔽、被怀疑，以及以可信行动恢复清晰。</x:v>
      </x:c>
      <x:c r="W9" s="21" t="str">
        <x:v>表面条件看似充足，实际关键信息被遮挡；直接行动容易被误解或加重疑虑。</x:v>
      </x:c>
      <x:c r="X9" s="21" t="str">
        <x:v>提高透明度；提供可核验事实；保持一致；允许对方观察；通过小步行动累积信任。</x:v>
      </x:c>
      <x:c r="Y9" s="21" t="str">
        <x:v>急于证明、强行解释、制造更大声量；把怀疑解读成恶意；在信息不清时作高成本承诺。</x:v>
      </x:c>
      <x:c r="Z9" s="21" t="str">
        <x:v>先澄清事实和建立可信度，再推进关键行动；用可验证的一致行为代替催促和辩解。</x:v>
      </x:c>
      <x:c r="AA9" s="21" t="str">
        <x:v>可提示沟通被遮蔽、信任不足或表达易被误解；不能断言对方暗恋、欺骗或患有心理问题。</x:v>
      </x:c>
      <x:c r="AB9" s="21" t="str">
        <x:v>可提示信息不透明、成果未被看见或提案受疑；不能断言领导故意打压或一定会认可。</x:v>
      </x:c>
      <x:c r="AC9" s="21" t="str">
        <x:v>应补充证据、审计和透明机制；不能仅凭卦象指控合作方欺诈或恶意隐瞒。</x:v>
      </x:c>
      <x:c r="AD9" s="21" t="str">
        <x:v>不得断言对方在欺骗、暗恋或故意试探；不得把“疑疾”解释为疾病诊断；不得承诺只要真诚就必然获得信任；不得给出未经程序支持的具体澄清时间</x:v>
      </x:c>
      <x:c r="AE9" s="21" t="str">
        <x:v>MIXED</x:v>
      </x:c>
      <x:c r="AF9" s="21" t="str">
        <x:v>STRONG</x:v>
      </x:c>
      <x:c r="AG9" s="21" t="str">
        <x:v>“疑疾”按深重疑虑解释，不作医学含义；“有孚发若”强调可信与逐步显现，不承诺必然吉。</x:v>
      </x:c>
      <x:c r="AH9" s="21" t="str">
        <x:v>建议形成DRAFT候选，待产品负责人确认语气后再进入REVIEWED。</x:v>
      </x:c>
    </x:row>
  </x:sheetData>
  <x:conditionalFormatting sqref="I2:I9">
    <x:cfRule type="containsText" dxfId="1" priority="1" operator="containsText" text="SOURCE_VARIANT_REQUIRES_REVIEW"/>
  </x:conditionalFormatting>
  <x:dataValidations count="1">
    <x:dataValidation type="list" sqref="I2:I9">
      <x:formula1>"PENDING_HUMAN_REVIEW,SOURCE_VARIANT_REQUIRES_REVIEW,READY_FOR_CONTENT_REVIEW,RETURNED_FOR_REVISION,HUMAN_REVIEW_COMPLETE"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063324226d45f3"/>
  </x:tableParts>
</x:worksheet>
</file>
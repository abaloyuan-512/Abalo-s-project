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使用说明" sheetId="1" r:id="rId1"/>
    <sheet name="用户价值" sheetId="2" r:id="rId2"/>
    <sheet name="易学结构" sheetId="3" r:id="rId3"/>
    <sheet name="产品边界"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<sst xmlns="http://schemas.openxmlformats.org/spreadsheetml/2006/main" count="476" uniqueCount="145">
  <si>
    <t>观象阶段0 · 三角色盲评工作簿</t>
  </si>
  <si>
    <t>评审编号</t>
  </si>
  <si>
    <t>OWNER_REVIEWER_01</t>
  </si>
  <si>
    <t>当前状态</t>
  </si>
  <si>
    <t>ASSIGNED_NOT_STARTED</t>
  </si>
  <si>
    <t>角色顺序</t>
  </si>
  <si>
    <t>①用户价值 → ②易学结构 → ③产品边界</t>
  </si>
  <si>
    <t>填写原则</t>
  </si>
  <si>
    <t>只填写黄色单元格；灰色评分是材料规则强制值，不要改动。</t>
  </si>
  <si>
    <t>盲评纪律</t>
  </si>
  <si>
    <t>填写完成前不要打开 cases.json、case_index.json、reveal_key.json、历史反馈或治理日志。</t>
  </si>
  <si>
    <t>角色限制</t>
  </si>
  <si>
    <t>三类评审均由同一产品负责人完成，因此结果属于内部单人评审，不代表独立用户或专家共识。</t>
  </si>
  <si>
    <t>用户价值进度</t>
  </si>
  <si>
    <t>易学结构进度</t>
  </si>
  <si>
    <t>产品边界进度</t>
  </si>
  <si>
    <t>总状态</t>
  </si>
  <si>
    <t>提交方式</t>
  </si>
  <si>
    <t>保存工作簿后告诉 Codex“评审已填写完成”，不要自行查看揭盲表。</t>
  </si>
  <si>
    <t>评分口径
用户价值：CLEARLY_YES / PARTLY / NO / CANNOT_JUDGE。
易学结构：SUPPORTED / PARTIAL / UNSUPPORTED / UNCERTAIN。
产品边界：TRUE_HARD_FAIL 表示发现违规；FALSE_NO_HARD_FAIL 表示未发现；CANNOT_CHECK 表示材料不足。</t>
  </si>
  <si>
    <t>那么</t>
  </si>
  <si>
    <t>长文本查看：点击单元格后可在 Excel 公式栏查看全部内容；也可以临时拖高行。不要删除、改写或复制材料正文，只填写黄色评分与理由单元格。</t>
  </si>
  <si>
    <t>盲评编号</t>
  </si>
  <si>
    <t>材料限制</t>
  </si>
  <si>
    <t>原始问题</t>
  </si>
  <si>
    <t>匿名背景</t>
  </si>
  <si>
    <t>辨识过程</t>
  </si>
  <si>
    <t>建议题目</t>
  </si>
  <si>
    <t>盘面材料</t>
  </si>
  <si>
    <t>解卦输出</t>
  </si>
  <si>
    <t>强制不可判断项</t>
  </si>
  <si>
    <t>辨识评分</t>
  </si>
  <si>
    <t>辨识证据/原因</t>
  </si>
  <si>
    <t>卦象增量评分</t>
  </si>
  <si>
    <t>卦象增量证据/原因</t>
  </si>
  <si>
    <t>完成状态</t>
  </si>
  <si>
    <t>R-7C2A</t>
  </si>
  <si>
    <t/>
  </si>
  <si>
    <t>未来三个月，我是否适合推动一个长期停滞的内部项目重新启动？</t>
  </si>
  <si>
    <t>管理层开始重新关注该项目，但资源和责任机制仍不稳定。</t>
  </si>
  <si>
    <r>
      <t>第</t>
    </r>
    <r>
      <rPr>
        <sz val="11"/>
        <rFont val="Carlito"/>
        <charset val="134"/>
      </rPr>
      <t>1</t>
    </r>
    <r>
      <rPr>
        <sz val="11"/>
        <rFont val="宋体"/>
        <charset val="134"/>
      </rPr>
      <t>轮</t>
    </r>
    <r>
      <rPr>
        <sz val="11"/>
        <rFont val="Carlito"/>
        <charset val="134"/>
      </rPr>
      <t xml:space="preserve">
</t>
    </r>
    <r>
      <rPr>
        <sz val="11"/>
        <rFont val="宋体"/>
        <charset val="134"/>
      </rPr>
      <t>承接：你关心的是在未来三个月内，是否值得推动这个长期停滞的内部项目重新启动。先从最近一次停滞的具体情况看：它当时卡在哪个环节？</t>
    </r>
    <r>
      <rPr>
        <sz val="11"/>
        <rFont val="Carlito"/>
        <charset val="134"/>
      </rPr>
      <t xml:space="preserve">
</t>
    </r>
    <r>
      <rPr>
        <sz val="11"/>
        <rFont val="宋体"/>
        <charset val="134"/>
      </rPr>
      <t>追问：这个项目最近一次停滞时，具体卡在哪个环节？</t>
    </r>
    <r>
      <rPr>
        <sz val="11"/>
        <rFont val="Carlito"/>
        <charset val="134"/>
      </rPr>
      <t xml:space="preserve">
</t>
    </r>
    <r>
      <rPr>
        <sz val="11"/>
        <rFont val="宋体"/>
        <charset val="134"/>
      </rPr>
      <t>回答：管理层开始重新关注这个长期停滞的项目，但资源和责任机制仍不稳定。我想判断现在推动重启是否合适。</t>
    </r>
    <r>
      <rPr>
        <sz val="11"/>
        <rFont val="Carlito"/>
        <charset val="134"/>
      </rPr>
      <t xml:space="preserve">
</t>
    </r>
    <r>
      <rPr>
        <sz val="11"/>
        <rFont val="宋体"/>
        <charset val="134"/>
      </rPr>
      <t>第</t>
    </r>
    <r>
      <rPr>
        <sz val="11"/>
        <rFont val="Carlito"/>
        <charset val="134"/>
      </rPr>
      <t>2</t>
    </r>
    <r>
      <rPr>
        <sz val="11"/>
        <rFont val="宋体"/>
        <charset val="134"/>
      </rPr>
      <t>轮</t>
    </r>
    <r>
      <rPr>
        <sz val="11"/>
        <rFont val="Carlito"/>
        <charset val="134"/>
      </rPr>
      <t xml:space="preserve">
</t>
    </r>
    <r>
      <rPr>
        <sz val="11"/>
        <rFont val="宋体"/>
        <charset val="134"/>
      </rPr>
      <t>承接：听起来，项目并非完全没人关注，真正影响重启判断的是资源和责任是否能稳定下来。现在最关键的是确认：有没有人已经明确承诺承担责任并提供所需资源？</t>
    </r>
    <r>
      <rPr>
        <sz val="11"/>
        <rFont val="Carlito"/>
        <charset val="134"/>
      </rPr>
      <t xml:space="preserve">
</t>
    </r>
    <r>
      <rPr>
        <sz val="11"/>
        <rFont val="宋体"/>
        <charset val="134"/>
      </rPr>
      <t>追问：目前是否已有具体负责人、资源或时间安排被明确承诺？</t>
    </r>
    <r>
      <rPr>
        <sz val="11"/>
        <rFont val="Carlito"/>
        <charset val="134"/>
      </rPr>
      <t xml:space="preserve">
</t>
    </r>
    <r>
      <rPr>
        <sz val="11"/>
        <rFont val="宋体"/>
        <charset val="134"/>
      </rPr>
      <t>回答：我已经整理了停滞原因并向直属负责人汇报，负责人表示愿意再讨论。</t>
    </r>
    <r>
      <rPr>
        <sz val="11"/>
        <rFont val="Carlito"/>
        <charset val="134"/>
      </rPr>
      <t xml:space="preserve">
</t>
    </r>
    <r>
      <rPr>
        <sz val="11"/>
        <rFont val="宋体"/>
        <charset val="134"/>
      </rPr>
      <t>第</t>
    </r>
    <r>
      <rPr>
        <sz val="11"/>
        <rFont val="Carlito"/>
        <charset val="134"/>
      </rPr>
      <t>3</t>
    </r>
    <r>
      <rPr>
        <sz val="11"/>
        <rFont val="宋体"/>
        <charset val="134"/>
      </rPr>
      <t>轮</t>
    </r>
    <r>
      <rPr>
        <sz val="11"/>
        <rFont val="Carlito"/>
        <charset val="134"/>
      </rPr>
      <t xml:space="preserve">
</t>
    </r>
    <r>
      <rPr>
        <sz val="11"/>
        <rFont val="宋体"/>
        <charset val="134"/>
      </rPr>
      <t>承接：听起来，你已经完成了原因梳理和一次汇报，但项目能否重启仍取决于资源与责任机制是否稳定，以及直属负责人后续是否给出更具体的安排。接下来最需要确认的是：什么样的明确回应，才足以支持你在未来三个月继续推动？</t>
    </r>
    <r>
      <rPr>
        <sz val="11"/>
        <rFont val="Carlito"/>
        <charset val="134"/>
      </rPr>
      <t xml:space="preserve">
</t>
    </r>
    <r>
      <rPr>
        <sz val="11"/>
        <rFont val="宋体"/>
        <charset val="134"/>
      </rPr>
      <t>追问：直属负责人需要明确承诺哪些资源、责任或时间安排，你才会认为项目具备重新启动的条件？</t>
    </r>
    <r>
      <rPr>
        <sz val="11"/>
        <rFont val="Carlito"/>
        <charset val="134"/>
      </rPr>
      <t xml:space="preserve">
</t>
    </r>
    <r>
      <rPr>
        <sz val="11"/>
        <rFont val="宋体"/>
        <charset val="134"/>
      </rPr>
      <t>回答：我还不知道管理层会投入多少资源，也没确认最终由谁承担交付责任。</t>
    </r>
    <r>
      <rPr>
        <sz val="11"/>
        <rFont val="Carlito"/>
        <charset val="134"/>
      </rPr>
      <t xml:space="preserve">
</t>
    </r>
    <r>
      <rPr>
        <sz val="11"/>
        <rFont val="宋体"/>
        <charset val="134"/>
      </rPr>
      <t>第</t>
    </r>
    <r>
      <rPr>
        <sz val="11"/>
        <rFont val="Carlito"/>
        <charset val="134"/>
      </rPr>
      <t>4</t>
    </r>
    <r>
      <rPr>
        <sz val="11"/>
        <rFont val="宋体"/>
        <charset val="134"/>
      </rPr>
      <t>轮</t>
    </r>
    <r>
      <rPr>
        <sz val="11"/>
        <rFont val="Carlito"/>
        <charset val="134"/>
      </rPr>
      <t xml:space="preserve">
</t>
    </r>
    <r>
      <rPr>
        <sz val="11"/>
        <rFont val="宋体"/>
        <charset val="134"/>
      </rPr>
      <t>承接：目前已经有一次汇报和</t>
    </r>
    <r>
      <rPr>
        <sz val="11"/>
        <rFont val="Carlito"/>
        <charset val="134"/>
      </rPr>
      <t>“</t>
    </r>
    <r>
      <rPr>
        <sz val="11"/>
        <rFont val="宋体"/>
        <charset val="134"/>
      </rPr>
      <t>愿意再讨论</t>
    </r>
    <r>
      <rPr>
        <sz val="11"/>
        <rFont val="Carlito"/>
        <charset val="134"/>
      </rPr>
      <t>”</t>
    </r>
    <r>
      <rPr>
        <sz val="11"/>
        <rFont val="宋体"/>
        <charset val="134"/>
      </rPr>
      <t>的回应，但资源与责任仍没有落到可核实的安排上。下一步先看这次讨论是否真正被安排下来。</t>
    </r>
    <r>
      <rPr>
        <sz val="11"/>
        <rFont val="Carlito"/>
        <charset val="134"/>
      </rPr>
      <t xml:space="preserve">
</t>
    </r>
    <r>
      <rPr>
        <sz val="11"/>
        <rFont val="宋体"/>
        <charset val="134"/>
      </rPr>
      <t>追问：直属负责人表示愿意再讨论后，是否已经约定下一次讨论的时间？</t>
    </r>
    <r>
      <rPr>
        <sz val="11"/>
        <rFont val="Carlito"/>
        <charset val="134"/>
      </rPr>
      <t xml:space="preserve">
</t>
    </r>
    <r>
      <rPr>
        <sz val="11"/>
        <rFont val="宋体"/>
        <charset val="134"/>
      </rPr>
      <t>回答：如果能明确项目负责人、最低资源和阶段验收，我愿意先重启一个小范围里程碑。</t>
    </r>
    <r>
      <rPr>
        <sz val="11"/>
        <rFont val="Carlito"/>
        <charset val="134"/>
      </rPr>
      <t xml:space="preserve">
</t>
    </r>
    <r>
      <rPr>
        <sz val="11"/>
        <rFont val="宋体"/>
        <charset val="134"/>
      </rPr>
      <t>第</t>
    </r>
    <r>
      <rPr>
        <sz val="11"/>
        <rFont val="Carlito"/>
        <charset val="134"/>
      </rPr>
      <t>5</t>
    </r>
    <r>
      <rPr>
        <sz val="11"/>
        <rFont val="宋体"/>
        <charset val="134"/>
      </rPr>
      <t>轮</t>
    </r>
    <r>
      <rPr>
        <sz val="11"/>
        <rFont val="Carlito"/>
        <charset val="134"/>
      </rPr>
      <t xml:space="preserve">
</t>
    </r>
    <r>
      <rPr>
        <sz val="11"/>
        <rFont val="宋体"/>
        <charset val="134"/>
      </rPr>
      <t>承接：听起来，管理层重新关注和直属负责人愿意再讨论，已经提供了推动的入口；但是否适合重启，仍取决于资源、交付责任和阶段验收能否落到明确安排上。你已经提出了先做小范围里程碑的可行路径。</t>
    </r>
  </si>
  <si>
    <t>在未来三个月内，我需要先核实哪些最低资源、交付责任和阶段验收条件，才能判断是否适合推动这个项目重新启动？</t>
  </si>
  <si>
    <t>{
  "base_hexagram": {
    "king_wen_number": 12,
    "name_zh": "否",
    "full_name_zh": "天地否",
    "unicode_symbol": "䷋",
    "upper_trigram": {
      "number": 1,
      "name_zh": "乾",
      "symbol": "☰",
      "element": "金",
      "lines_bottom_up": [
        1,
        1,
        1
      ],
      "data_version": "MEIHUA_TRIGRAMS_V1"
    },
    "lower_trigram": {
      "number": 8,
      "name_zh": "坤",
      "symbol": "☷",
      "element": "土",
      "lines_bottom_up": [
        0,
        0,
        0
      ],
      "data_version": "MEIHUA_TRIGRAMS_V1"
    },
    "lines_bottom_up": [
      0,
      0,
      0,
      1,
      1,
      1
    ],
    "data_version": "MEIHUA_HEXAGRAMS_V1"
  },
  "mutual_hexagram": {
    "king_wen_number": 53,
    "name_zh": "渐",
    "full_name_zh": "风山渐",
    "unicode_symbol": "䷴",
    "upper_trigram": {
      "number": 5,
      "name_zh": "巽",
      "symbol": "☴",
      "element": "木",
      "lines_bottom_up": [
        0,
        1,
        1
      ],
      "data_version": "MEIHUA_TRIGRAMS_V1"
    },
    "lower_trigram": {
      "number": 7,
      "name_zh": "艮",
      "symbol": "☶",
      "element": "土",
      "lines_bottom_up": [
        0,
        0,
        1
      ],
      "data_version": "MEIHUA_TRIGRAMS_V1"
    },
    "lines_bottom_up": [
      0,
      0,
      1,
      0,
      1,
      1
    ],
    "data_version": "MEIHUA_HEXAGRAMS_V1"
  },
  "changed_hexagram": {
    "king_wen_number": 35,
    "name_zh": "晋",
    "full_name_zh": "火地晋",
    "unicode_symbol": "䷢",
    "upper_trigram": {
      "number": 3,
      "name_zh": "离",
      "symbol": "☲",
      "element": "火",
      "lines_bottom_up": [
        1,
        0,
        1
      ],
      "data_version": "MEIHUA_TRIGRAMS_V1"
    },
    "lower_trigram": {
      "number": 8,
      "name_zh": "坤",
      "symbol": "☷",
      "element": "土",
      "lines_bottom_up": [
        0,
        0,
        0
      ],
      "data_version": "MEIHUA_TRIGRAMS_V1"
    },
    "lines_bottom_up": [
      0,
      0,
      0,
      1,
      0,
      1
    ],
    "data_version": "MEIHUA_HEXAGRAMS_V1"
  },
  "moving_line": 5
}</t>
  </si>
  <si>
    <t>{
  "plain_language_explanation": [
    {
      "text": "这类停滞更值得先从协作方式、责任边界和资源配置中找原因，而不宜仅靠加大投入来重复原有做法。",
      "evidence_ids": [
        "E02"
      ],
      "narrative_kind": "EXPLANATION",
      "subject_scope": "SITUATION",
      "epistemic_basis": "CHART_EVIDENCE"
    },
    {
      "text": "若要推动项目，需要把修复思路落实为可执行的分工、沟通和风险控制，而非只处理表面进度。",
      "evidence_ids": [
        "E03"
      ],
      "narrative_kind": "EXPLANATION",
      "subject_scope": "PROCESS",
      "epistemic_basis": "CHART_EVIDENCE"
    }
  ],
  "real_world_advice": [
    {
      "text": "可以考虑先梳理项目中已经失效的审批、协作或交接环节，并暂停对这些环节的重复消耗。",
      "evidence_ids": [
        "E02"
      ],
      "narrative_kind": "ACTION_OPTION",
      "subject_scope": "PROCESS",
      "epistemic_basis": "ACTION_OPTION"
    },
    {
      "text": "可以考虑将责任人、决策权限、资源承诺和升级路径写入明确机制，并设置检查与备选方案。",
      "evidence_ids": [
        "E03"
      ],
      "narrative_kind": "ACTION_OPTION",
      "subject_scope": "PROCESS",
      "epistemic_basis": "ACTION_OPTION"
    },
    {
      "text": "建议验证重启方案是否保留了关键资源与退出边界，避免为推动进展而承担不可控的额外风险。",
      "evidence_ids": [
        "E02",
        "E03"
      ],
      "narrative_kind": "ACTION_OPTION",
      "subject_scope": "USER",
      "epistemic_basis": "ACTION_OPTION"
    }
  ],
  "conditions_that_change_outcome": [],
  "review_questions": [
    {
      "text": "项目当前最主要的阻塞，是否已经被具体定位为责任、资源、决策或跨团队协作中的某一类问题？",
      "evidence_ids": [
        "E02"
      ],
      "narrative_kind": "REVIEW_QUESTION",
      "subject_scope": "SITUATION",
      "epistemic_basis": "UNCERTAINTY"
    },
    {
      "text": "是否已有被明确授权的责任人，能够协调资源并对关键决策承担后续责任？",
      "evidence_ids": [
        "E03"
      ],
      "narrative_kind": "REVIEW_QUESTION",
      "subject_scope": "PROCESS",
      "epistemic_basis": "UNCERTAINTY"
    },
    {
      "text": "重启方案中是否包含可核对的检查点、风险升级路径和资源不足时的止损安排？",
      "evidence_ids": [
        "E02",
        "E03"
      ],
      "narrative_kind": "REVIEW_QUESTION",
      "subject_scope": "PROCESS",
      "epistemic_basis": "UNCERTAINTY"
    }
  ]
}</t>
  </si>
  <si>
    <t>PARTLY</t>
  </si>
  <si>
    <t>我觉得辨识的第一个问题，跟用户自己填写的问题之间，逻辑关系跨度很大。感觉联系的有钱牵强。如果是别人问我是否适合在未来三个月推动一个什么项目?我首先就会下意识的问他，你为什么想要推动这个项目？那你现在顾虑什么？之类的问题。而不是你现在问的这些。</t>
  </si>
  <si>
    <t>NO</t>
  </si>
  <si>
    <t>我并不觉得现在这个解卦的内容，跟卦本身有多相关，它就是一个方法论，放在任何别的问题也都成立的。</t>
  </si>
  <si>
    <t>R-19F4</t>
  </si>
  <si>
    <t>缺少足够还原语境的辨识对话、改问过程或用户可见理由。
缺少与输出逐项对应的完整确定性盘面与证据映射。</t>
  </si>
  <si>
    <t>这次合作，我还应该继续投入吗？</t>
  </si>
  <si>
    <t>离为火，三爻动，变火雷噬嗑；初始体用比和，变化后用生体；体休、初用休、变用囚。</t>
  </si>
  <si>
    <t>{
  "core_judgment": "这次不宜直接追加投入。",
  "reading": "离为两火相承，也有附丽之义：火有所附，方能成明。体用起初比和，说明这段合作并非根本相悖，双方也曾有过彼此照应、同向发力的基础。但三爻所见是“日昃之离”——日势已斜，光还在，阶段却已经变了。此时若仍循旧法，只靠原来的热度、承诺或你的持续投入维持，所得未必是推进，更多可能只是耗损。变而为噬嗑。噬嗑之象，是颐中有物，梗在其间；不先把它辨清、处置，彼此便难以重新相合。落到这次合作，眼下真正要处理的不是“你还能再投入多少”，而是责任、交付、分配或延期代价中，究竟哪一处始终含混，迟迟没有落定。",
  "action": "在新增资金、时间或资源以前，先要求对方完成一个足以消除当前梗碍的实际动作：补上关键交付、重新划清责任、承担已经发生的延期成本，或者把后续资源与回报明确下来。先见承担，再谈继续。"
}</t>
  </si>
  <si>
    <t>DISCERNMENT_UNDERSTANDING
CHART_CAUSAL_VALUE</t>
  </si>
  <si>
    <t>CANNOT_JUDGE</t>
  </si>
  <si>
    <t>这个解卦很清晰，上来就给答案了。可以。给人一种确定感。</t>
  </si>
  <si>
    <t>R-B603</t>
  </si>
  <si>
    <t>{
  "question_a": "这次合作，我还应该继续投入吗？",
  "question_b": "对方多次延期后，我还要继续追加预算吗？"
}</t>
  </si>
  <si>
    <t>{
  "base": "山地剥",
  "changed": "艮为山",
  "source": "existing_deterministic_output"
}</t>
  </si>
  <si>
    <t>{
  "answer": "山地剥把重点放在“旧结构正在脱落，先保住最重要的部分”。这项项目或合作眼下有支持也有阻力，先别急着把整件事一次定死。",
  "what_it_means": "本卦是山地剥，先提醒你：旧结构正在脱落，先保住最重要的部分。动爻之后变为艮为山，局面的下一层重点转向：知道什么时候停下来，才能重新看清。支持与阻力同时存在，继续猜测不会让局面更清楚。回到现实，重点看双方分工、资源与交付能否形成闭环。这次先看眼前最该确认的那一步；等它有了实际回应，再决定后面怎么走。",
  "next_action": "你已经在推进，请对方确认一个可验收节点；只在实际回复和行动出现后，再决定是否追加投入。在这段观察范围内，只用阶段反馈更新判断。"
}</t>
  </si>
  <si>
    <t>没有辨识的过程，也没有更改问题</t>
  </si>
  <si>
    <t>我觉得这个很好。为什么呢。首先这是没有任何其它语料输入的。只有问题本身。但是解卦的时候，很好的跟我讲解了，最开始是怎么样的，后来发生了哪些改变，所以现在是不一样了。而且解卦第一句上来给我了一个结果。让我觉得，它不仅给我结果了，还很自洽的给我了一个原因。我是很认可的。所以理所当然的我认可了最后它给我的action plan</t>
  </si>
  <si>
    <t>R-4D8E</t>
  </si>
  <si>
    <t>未来三个月，我是否适合立即公开启动一个尚未准备充分的新项目？</t>
  </si>
  <si>
    <t>已经有初步方案，但资源、合作人和交付流程尚未稳定。</t>
  </si>
  <si>
    <t>第1轮
承接：你问的是未来三个月内，是否要把一个“尚未准备充分”的新项目立即公开启动；现在最关键的是先看清楚，究竟是哪部分还没准备好。
追问：目前这个项目最具体、最影响公开启动的一项未准备内容是什么？
回答：初步方案已经有了，但资源、合作人和交付流程都还没稳定。我现在最纠结的是要不要公开启动。
第2轮
承接：听起来，项目已有初步方案，但公开启动可能会把尚未稳定的资源、合作人和交付流程变成外部承诺。为了判断启动边界，我想先确认公开之后别人会期待你立刻兑现什么。
追问：如果现在公开启动，外界会把哪些具体内容视为你已经确定承诺的？
回答：我已经做过一次小范围内部测试，收到两位潜在用户的正面反馈。
第3轮
承接：你已经做过一次小范围内部测试，也收到两位潜在用户的正面反馈；但资源、合作人和交付流程都还没稳定。现在最需要厘清的是，公开启动会让你实际承担哪些对外承诺。
追问：如果现在公开启动，你准备对外明确承诺哪些具体内容？
回答：我还不知道合作人能否按时投入，也没确认第一轮交付需要多少资源。
第4轮
承接：听起来，小范围测试已有正面反馈，但合作投入和首轮资源仍未确认；现在最需要厘清的是“公开启动”具体会把什么承诺放到台面上。
追问：你准备在公开启动时，最先对外公布哪一项具体内容？
回答：如果一个月内能确定合作人的投入和第一轮交付资源，我愿意先小范围试运行；否则继续准备。
第5轮
承接：听起来，内部测试已有正面反馈，但公开启动是否合适主要卡在合作人的投入和第一轮交付资源还没确认。你已经提出了“一个月内确认”的条件，下一步需要把确认方式说具体。
追问：你打算通过什么具体方式，在一个月内确认合作人的投入和第一轮交付所需资源？</t>
  </si>
  <si>
    <t>你打算通过什么具体方式，在一个月内确认合作人的投入和第一轮交付所需资源？</t>
  </si>
  <si>
    <t>{
  "base_hexagram": {
    "king_wen_number": 1,
    "name_zh": "乾",
    "full_name_zh": "乾为天",
    "unicode_symbol": "䷀",
    "upper_trigram": {
      "number": 1,
      "name_zh": "乾",
      "symbol": "☰",
      "element": "金",
      "lines_bottom_up": [
        1,
        1,
        1
      ],
      "data_version": "MEIHUA_TRIGRAMS_V1"
    },
    "lower_trigram": {
      "number": 1,
      "name_zh": "乾",
      "symbol": "☰",
      "element": "金",
      "lines_bottom_up": [
        1,
        1,
        1
      ],
      "data_version": "MEIHUA_TRIGRAMS_V1"
    },
    "lines_bottom_up": [
      1,
      1,
      1,
      1,
      1,
      1
    ],
    "data_version": "MEIHUA_HEXAGRAMS_V1"
  },
  "mutual_hexagram": {
    "king_wen_number": 1,
    "name_zh": "乾",
    "full_name_zh": "乾为天",
    "unicode_symbol": "䷀",
    "upper_trigram": {
      "number": 1,
      "name_zh": "乾",
      "symbol": "☰",
      "element": "金",
      "lines_bottom_up": [
        1,
        1,
        1
      ],
      "data_version": "MEIHUA_TRIGRAMS_V1"
    },
    "lower_trigram": {
      "number": 1,
      "name_zh": "乾",
      "symbol": "☰",
      "element": "金",
      "lines_bottom_up": [
        1,
        1,
        1
      ],
      "data_version": "MEIHUA_TRIGRAMS_V1"
    },
    "lines_bottom_up": [
      1,
      1,
      1,
      1,
      1,
      1
    ],
    "data_version": "MEIHUA_HEXAGRAMS_V1"
  },
  "changed_hexagram": {
    "king_wen_number": 44,
    "name_zh": "姤",
    "full_name_zh": "天风姤",
    "unicode_symbol": "䷫",
    "upper_trigram": {
      "number": 1,
      "name_zh": "乾",
      "symbol": "☰",
      "element": "金",
      "lines_bottom_up": [
        1,
        1,
        1
      ],
      "data_version": "MEIHUA_TRIGRAMS_V1"
    },
    "lower_trigram": {
      "number": 5,
      "name_zh": "巽",
      "symbol": "☴",
      "element": "木",
      "lines_bottom_up": [
        0,
        1,
        1
      ],
      "data_version": "MEIHUA_TRIGRAMS_V1"
    },
    "lines_bottom_up": [
      0,
      1,
      1,
      1,
      1,
      1
    ],
    "data_version": "MEIHUA_HEXAGRAMS_V1"
  },
  "moving_line": 1
}</t>
  </si>
  <si>
    <t>{
  "plain_language_explanation": [
    {
      "text": "这件事更适合把“主动”理解为有边界的筹划与验证，而不是用公开承诺来替代准备。",
      "evidence_ids": [
        "D-H-1",
        "D-L-1-1"
      ],
      "narrative_kind": "EXPLANATION",
      "subject_scope": "SITUATION",
      "epistemic_basis": "CHART_EVIDENCE"
    },
    {
      "text": "现有方案可以继续推进，但资源、协作和交付安排是否能承接公开启动，仍是需要优先核对的现实环节。",
      "evidence_ids": [
        "D-L-1-1",
        "E02",
        "E03"
      ],
      "narrative_kind": "EXPLANATION",
      "subject_scope": "PROCESS",
      "epistemic_basis": "CHART_EVIDENCE"
    }
  ],
  "real_world_advice": [
    {
      "text": "可以考虑先把项目拆成较小的验证单元，分别确认资源来源、合作分工和交付标准。",
      "evidence_ids": [
        "D-L-1-1",
        "E03"
      ],
      "narrative_kind": "ACTION_OPTION",
      "subject_scope": "PROCESS",
      "epistemic_basis": "ACTION_OPTION"
    },
    {
      "text": "可先尝试设定明确的公开启动门槛，例如关键资源到位、协作责任确认，以及交付流程能够实际运转。",
      "evidence_ids": [
        "D-H-1",
        "D-L-1-1"
      ],
      "narrative_kind": "ACTION_OPTION",
      "subject_scope": "PROCESS",
      "epistemic_basis": "ACTION_OPTION"
    },
    {
      "text": "建议验证你的行动强度是否与可承担的承诺相匹配，避免为了证明能力而扩大范围。",
      "evidence_ids": [
        "D-H-1",
        "D-L-1-1"
      ],
      "narrative_kind": "ACTION_OPTION",
      "subject_scope": "USER",
      "epistemic_basis": "ACTION_OPTION"
    }
  ],
  "conditions_that_change_outcome": [],
  "review_questions": [
    {
      "text": "目前哪些资源已经落实，哪些仍依赖口头意向或不稳定的外部配合？",
      "evidence_ids": [
        "D-L-1-1",
        "E02"
      ],
      "narrative_kind": "REVIEW_QUESTION",
      "subject_scope": "PROCESS",
      "epistemic_basis": "UNCERTAINTY"
    },
    {
      "text": "合作人是否已明确各自的责任、权限和交付接口？",
      "evidence_ids": [
        "D-H-1",
        "E02",
        "E03"
      ],
      "narrative_kind": "REVIEW_QUESTION",
      "subject_scope": "PROCESS",
      "epistemic_basis": "UNCERTAINTY"
    },
    {
      "text": "如果公开启动后出现需求变化或协作缺口，现有流程能否承受并及时调整？",
      "evidence_ids": [
        "D-H-1",
        "D-L-1-1",
        "E03"
      ],
      "narrative_kind": "REVIEW_QUESTION",
      "subject_scope": "PROCESS",
      "epistemic_basis": "UNCERTAINTY"
    }
  ]
}</t>
  </si>
  <si>
    <r>
      <t>我觉得辨识的过程，不像是在跟人聊天，因为</t>
    </r>
    <r>
      <rPr>
        <sz val="11"/>
        <rFont val="Carlito"/>
        <charset val="134"/>
      </rPr>
      <t>AI</t>
    </r>
    <r>
      <rPr>
        <sz val="11"/>
        <rFont val="宋体"/>
        <charset val="134"/>
      </rPr>
      <t>在承接对话的时候，把太多预先的设想当成了前提，基于这个前提假设成立，再继续问另外一个问题。然后在引导一场谈话，但是这个前提真的是存在的吗？这个前提是用户真实关心或者确认过的吗？这就是我觉得辨识的问题很奇怪的原因。最后我感觉，</t>
    </r>
    <r>
      <rPr>
        <sz val="11"/>
        <rFont val="Carlito"/>
        <charset val="134"/>
      </rPr>
      <t>AI</t>
    </r>
    <r>
      <rPr>
        <sz val="11"/>
        <rFont val="宋体"/>
        <charset val="134"/>
      </rPr>
      <t>通过几个问题把用户绕进去了。完全偷换了概念。它不是在帮助用户理清思路，它在给用户洗脑把用户的问题换掉。所以用户最后要么不采纳</t>
    </r>
    <r>
      <rPr>
        <sz val="11"/>
        <rFont val="Carlito"/>
        <charset val="134"/>
      </rPr>
      <t>AI</t>
    </r>
    <r>
      <rPr>
        <sz val="11"/>
        <rFont val="宋体"/>
        <charset val="134"/>
      </rPr>
      <t>建议的问题，要么就觉得</t>
    </r>
    <r>
      <rPr>
        <sz val="11"/>
        <rFont val="Carlito"/>
        <charset val="134"/>
      </rPr>
      <t>AI</t>
    </r>
    <r>
      <rPr>
        <sz val="11"/>
        <rFont val="宋体"/>
        <charset val="134"/>
      </rPr>
      <t>并没有真的懂他。</t>
    </r>
  </si>
  <si>
    <t>有明确给出方案可以继续。但是要怎么样。这个我觉得是用户最想看到的。是基于这样一个确定性的结果，用户才会愿意看后面的长篇大论的解释</t>
  </si>
  <si>
    <t>R-A271</t>
  </si>
  <si>
    <t>{
  "question_a": "我还应该继续准备这次考试吗？",
  "question_b": "这个副业方向，我还应该继续投入吗？"
}</t>
  </si>
  <si>
    <t>{
  "base": "水雷屯",
  "changed": "水地比",
  "source": "existing_deterministic_output"
}</t>
  </si>
  <si>
    <t>{
  "answer": "水雷屯把重点放在“事情刚起步，先把混乱一件件理顺”。这项个人计划目前带来的牵制和消耗偏多，先守住边界，再谈是否继续。",
  "what_it_means": "本卦是水雷屯，先提醒你：事情刚起步，先把混乱一件件理顺。动爻之后变为水地比，局面的下一层重点转向：确认彼此是否真心靠近、愿意同行。当前结构对你的消耗或约束偏强，先保护可用资源更重要。回到现实，重点看时间、精力与资源能否承受这项计划。这次先看眼前最该确认的那一步；等它有了实际回应，再决定后面怎么走。",
  "next_action": "你正在准备行动，写下可承受的时间、精力与预算上限，只先投入其中最小的一部分。保留调整空间，让每个阶段的事实决定下一阶段。"
}</t>
  </si>
  <si>
    <t>无辨识过程</t>
  </si>
  <si>
    <t>这个解卦我觉得有点似是而非。先告诉我这个卦说，事情刚起步，先把混乱一件件理顺。这句话没头没尾。。我的问题是我还要继续吗之类的。那你要么先告诉我，是可以继续的，但是呢，现在事情刚起步的状态，还很混乱，你在继续加大投入之前呢，需要先静下来想象，把混乱的东西理顺了，再继续。我觉得这样的回答是比较好的。而你解卦的词里面说什么，先保护可用资源更重要。这种话，感觉跟用户的问题，有点割裂，搭不上。</t>
  </si>
  <si>
    <t>R-52C9</t>
  </si>
  <si>
    <t>未来六周，我是否适合在信息不完整、对方回应含糊时继续推动关系确认？</t>
  </si>
  <si>
    <t>双方有持续联系，但对未来安排没有形成明确共识。</t>
  </si>
  <si>
    <r>
      <t>第</t>
    </r>
    <r>
      <rPr>
        <sz val="11"/>
        <rFont val="Carlito"/>
        <charset val="134"/>
      </rPr>
      <t>1</t>
    </r>
    <r>
      <rPr>
        <sz val="11"/>
        <rFont val="宋体"/>
        <charset val="134"/>
      </rPr>
      <t>轮</t>
    </r>
    <r>
      <rPr>
        <sz val="11"/>
        <rFont val="Carlito"/>
        <charset val="134"/>
      </rPr>
      <t xml:space="preserve">
</t>
    </r>
    <r>
      <rPr>
        <sz val="11"/>
        <rFont val="宋体"/>
        <charset val="134"/>
      </rPr>
      <t>承接：你提到的</t>
    </r>
    <r>
      <rPr>
        <sz val="11"/>
        <rFont val="Carlito"/>
        <charset val="134"/>
      </rPr>
      <t>“</t>
    </r>
    <r>
      <rPr>
        <sz val="11"/>
        <rFont val="宋体"/>
        <charset val="134"/>
      </rPr>
      <t>关系确认</t>
    </r>
    <r>
      <rPr>
        <sz val="11"/>
        <rFont val="Carlito"/>
        <charset val="134"/>
      </rPr>
      <t>”</t>
    </r>
    <r>
      <rPr>
        <sz val="11"/>
        <rFont val="宋体"/>
        <charset val="134"/>
      </rPr>
      <t>可能对应不同场景，判断重点会不一样。我先确认具体对象，避免把合作或工作关系误当成感情关系。</t>
    </r>
    <r>
      <rPr>
        <sz val="11"/>
        <rFont val="Carlito"/>
        <charset val="134"/>
      </rPr>
      <t xml:space="preserve">
</t>
    </r>
    <r>
      <rPr>
        <sz val="11"/>
        <rFont val="宋体"/>
        <charset val="134"/>
      </rPr>
      <t>追问：这里的</t>
    </r>
    <r>
      <rPr>
        <sz val="11"/>
        <rFont val="Carlito"/>
        <charset val="134"/>
      </rPr>
      <t>“</t>
    </r>
    <r>
      <rPr>
        <sz val="11"/>
        <rFont val="宋体"/>
        <charset val="134"/>
      </rPr>
      <t>关系确认</t>
    </r>
    <r>
      <rPr>
        <sz val="11"/>
        <rFont val="Carlito"/>
        <charset val="134"/>
      </rPr>
      <t>”</t>
    </r>
    <r>
      <rPr>
        <sz val="11"/>
        <rFont val="宋体"/>
        <charset val="134"/>
      </rPr>
      <t>具体是指感情关系、合作关系，还是其他关系？</t>
    </r>
    <r>
      <rPr>
        <sz val="11"/>
        <rFont val="Carlito"/>
        <charset val="134"/>
      </rPr>
      <t xml:space="preserve">
</t>
    </r>
    <r>
      <rPr>
        <sz val="11"/>
        <rFont val="宋体"/>
        <charset val="134"/>
      </rPr>
      <t>回答：我们有持续联系，但对未来安排没有形成明确共识。对方回应含糊，我在考虑是否继续推动关系确认。</t>
    </r>
    <r>
      <rPr>
        <sz val="11"/>
        <rFont val="Carlito"/>
        <charset val="134"/>
      </rPr>
      <t xml:space="preserve">
</t>
    </r>
    <r>
      <rPr>
        <sz val="11"/>
        <rFont val="宋体"/>
        <charset val="134"/>
      </rPr>
      <t>第</t>
    </r>
    <r>
      <rPr>
        <sz val="11"/>
        <rFont val="Carlito"/>
        <charset val="134"/>
      </rPr>
      <t>2</t>
    </r>
    <r>
      <rPr>
        <sz val="11"/>
        <rFont val="宋体"/>
        <charset val="134"/>
      </rPr>
      <t>轮</t>
    </r>
    <r>
      <rPr>
        <sz val="11"/>
        <rFont val="Carlito"/>
        <charset val="134"/>
      </rPr>
      <t xml:space="preserve">
</t>
    </r>
    <r>
      <rPr>
        <sz val="11"/>
        <rFont val="宋体"/>
        <charset val="134"/>
      </rPr>
      <t>承接：你已经确认目前有持续联系，但关键卡在对方的含糊回应。为了判断接下来能否继续推进，先看一个最近的具体例子会更有帮助。</t>
    </r>
    <r>
      <rPr>
        <sz val="11"/>
        <rFont val="Carlito"/>
        <charset val="134"/>
      </rPr>
      <t xml:space="preserve">
</t>
    </r>
    <r>
      <rPr>
        <sz val="11"/>
        <rFont val="宋体"/>
        <charset val="134"/>
      </rPr>
      <t>追问：对方最近一次回应含糊时，具体说了什么，或没有明确回答哪件事？</t>
    </r>
    <r>
      <rPr>
        <sz val="11"/>
        <rFont val="Carlito"/>
        <charset val="134"/>
      </rPr>
      <t xml:space="preserve">
</t>
    </r>
    <r>
      <rPr>
        <sz val="11"/>
        <rFont val="宋体"/>
        <charset val="134"/>
      </rPr>
      <t>回答：我已经直接问过一次对未来的想法，对方只说最近很忙，之后没有给出具体安排。</t>
    </r>
    <r>
      <rPr>
        <sz val="11"/>
        <rFont val="Carlito"/>
        <charset val="134"/>
      </rPr>
      <t xml:space="preserve">
</t>
    </r>
    <r>
      <rPr>
        <sz val="11"/>
        <rFont val="宋体"/>
        <charset val="134"/>
      </rPr>
      <t>第</t>
    </r>
    <r>
      <rPr>
        <sz val="11"/>
        <rFont val="Carlito"/>
        <charset val="134"/>
      </rPr>
      <t>3</t>
    </r>
    <r>
      <rPr>
        <sz val="11"/>
        <rFont val="宋体"/>
        <charset val="134"/>
      </rPr>
      <t>轮</t>
    </r>
    <r>
      <rPr>
        <sz val="11"/>
        <rFont val="Carlito"/>
        <charset val="134"/>
      </rPr>
      <t xml:space="preserve">
</t>
    </r>
    <r>
      <rPr>
        <sz val="11"/>
        <rFont val="宋体"/>
        <charset val="134"/>
      </rPr>
      <t>承接：听起来，你已经主动问过一次，但对方只以</t>
    </r>
    <r>
      <rPr>
        <sz val="11"/>
        <rFont val="Carlito"/>
        <charset val="134"/>
      </rPr>
      <t>“</t>
    </r>
    <r>
      <rPr>
        <sz val="11"/>
        <rFont val="宋体"/>
        <charset val="134"/>
      </rPr>
      <t>最近很忙</t>
    </r>
    <r>
      <rPr>
        <sz val="11"/>
        <rFont val="Carlito"/>
        <charset val="134"/>
      </rPr>
      <t>”</t>
    </r>
    <r>
      <rPr>
        <sz val="11"/>
        <rFont val="宋体"/>
        <charset val="134"/>
      </rPr>
      <t>回应，关键缺口是对方是否愿意把未来安排说具体。为了判断接下来是否适合继续推动，需要先明确你希望对方具体确认哪一件事。</t>
    </r>
    <r>
      <rPr>
        <sz val="11"/>
        <rFont val="Carlito"/>
        <charset val="134"/>
      </rPr>
      <t xml:space="preserve">
</t>
    </r>
    <r>
      <rPr>
        <sz val="11"/>
        <rFont val="宋体"/>
        <charset val="134"/>
      </rPr>
      <t>追问：在未来六周内，你最希望对方明确回答哪一件事，怎样的具体回应才算形成共识？</t>
    </r>
    <r>
      <rPr>
        <sz val="11"/>
        <rFont val="Carlito"/>
        <charset val="134"/>
      </rPr>
      <t xml:space="preserve">
</t>
    </r>
    <r>
      <rPr>
        <sz val="11"/>
        <rFont val="宋体"/>
        <charset val="134"/>
      </rPr>
      <t>回答：我还不知道对方是否愿意建立稳定关系，也没确认下一次见面的时间。</t>
    </r>
    <r>
      <rPr>
        <sz val="11"/>
        <rFont val="Carlito"/>
        <charset val="134"/>
      </rPr>
      <t xml:space="preserve">
</t>
    </r>
    <r>
      <rPr>
        <sz val="11"/>
        <rFont val="宋体"/>
        <charset val="134"/>
      </rPr>
      <t>第</t>
    </r>
    <r>
      <rPr>
        <sz val="11"/>
        <rFont val="Carlito"/>
        <charset val="134"/>
      </rPr>
      <t>4</t>
    </r>
    <r>
      <rPr>
        <sz val="11"/>
        <rFont val="宋体"/>
        <charset val="134"/>
      </rPr>
      <t>轮</t>
    </r>
    <r>
      <rPr>
        <sz val="11"/>
        <rFont val="Carlito"/>
        <charset val="134"/>
      </rPr>
      <t xml:space="preserve">
</t>
    </r>
    <r>
      <rPr>
        <sz val="11"/>
        <rFont val="宋体"/>
        <charset val="134"/>
      </rPr>
      <t>承接：听起来，你已经直接问过一次，但对方只回应</t>
    </r>
    <r>
      <rPr>
        <sz val="11"/>
        <rFont val="Carlito"/>
        <charset val="134"/>
      </rPr>
      <t>“</t>
    </r>
    <r>
      <rPr>
        <sz val="11"/>
        <rFont val="宋体"/>
        <charset val="134"/>
      </rPr>
      <t>最近很忙</t>
    </r>
    <r>
      <rPr>
        <sz val="11"/>
        <rFont val="Carlito"/>
        <charset val="134"/>
      </rPr>
      <t>”</t>
    </r>
    <r>
      <rPr>
        <sz val="11"/>
        <rFont val="宋体"/>
        <charset val="134"/>
      </rPr>
      <t>，所以现在的关键缺口是：你所说的</t>
    </r>
    <r>
      <rPr>
        <sz val="11"/>
        <rFont val="Carlito"/>
        <charset val="134"/>
      </rPr>
      <t>“</t>
    </r>
    <r>
      <rPr>
        <sz val="11"/>
        <rFont val="宋体"/>
        <charset val="134"/>
      </rPr>
      <t>继续推动</t>
    </r>
    <r>
      <rPr>
        <sz val="11"/>
        <rFont val="Carlito"/>
        <charset val="134"/>
      </rPr>
      <t>”</t>
    </r>
    <r>
      <rPr>
        <sz val="11"/>
        <rFont val="宋体"/>
        <charset val="134"/>
      </rPr>
      <t>具体准备怎么做。</t>
    </r>
    <r>
      <rPr>
        <sz val="11"/>
        <rFont val="Carlito"/>
        <charset val="134"/>
      </rPr>
      <t xml:space="preserve">
</t>
    </r>
    <r>
      <rPr>
        <sz val="11"/>
        <rFont val="宋体"/>
        <charset val="134"/>
      </rPr>
      <t>追问：如果继续推动关系确认，你下一步具体打算联系对方提出什么？</t>
    </r>
    <r>
      <rPr>
        <sz val="11"/>
        <rFont val="Carlito"/>
        <charset val="134"/>
      </rPr>
      <t xml:space="preserve">
</t>
    </r>
    <r>
      <rPr>
        <sz val="11"/>
        <rFont val="宋体"/>
        <charset val="134"/>
      </rPr>
      <t>回答：如果对方愿意给出具体见面安排并正面回应关系期待，我会继续了解；否则我会停止单方面推进。</t>
    </r>
    <r>
      <rPr>
        <sz val="11"/>
        <rFont val="Carlito"/>
        <charset val="134"/>
      </rPr>
      <t xml:space="preserve">
</t>
    </r>
    <r>
      <rPr>
        <sz val="11"/>
        <rFont val="宋体"/>
        <charset val="134"/>
      </rPr>
      <t>第</t>
    </r>
    <r>
      <rPr>
        <sz val="11"/>
        <rFont val="Carlito"/>
        <charset val="134"/>
      </rPr>
      <t>5</t>
    </r>
    <r>
      <rPr>
        <sz val="11"/>
        <rFont val="宋体"/>
        <charset val="134"/>
      </rPr>
      <t>轮</t>
    </r>
    <r>
      <rPr>
        <sz val="11"/>
        <rFont val="Carlito"/>
        <charset val="134"/>
      </rPr>
      <t xml:space="preserve">
</t>
    </r>
    <r>
      <rPr>
        <sz val="11"/>
        <rFont val="宋体"/>
        <charset val="134"/>
      </rPr>
      <t>承接：听起来，关键已经集中在对方是否愿意用具体见面安排和正面回应来共同推进，而不是继续由你单方面猜测或推动。你也已经说清了：如果这些回应没有出现，就会停止单方面推进。</t>
    </r>
  </si>
  <si>
    <t>在接下来的六周里，我可以用哪些具体回应或见面安排来判断对方是否愿意共同推进稳定关系？</t>
  </si>
  <si>
    <t>{
  "base_hexagram": {
    "king_wen_number": 55,
    "name_zh": "丰",
    "full_name_zh": "雷火丰",
    "unicode_symbol": "䷶",
    "upper_trigram": {
      "number": 4,
      "name_zh": "震",
      "symbol": "☳",
      "element": "木",
      "lines_bottom_up": [
        1,
        0,
        0
      ],
      "data_version": "MEIHUA_TRIGRAMS_V1"
    },
    "lower_trigram": {
      "number": 3,
      "name_zh": "离",
      "symbol": "☲",
      "element": "火",
      "lines_bottom_up": [
        1,
        0,
        1
      ],
      "data_version": "MEIHUA_TRIGRAMS_V1"
    },
    "lines_bottom_up": [
      1,
      0,
      1,
      1,
      0,
      0
    ],
    "data_version": "MEIHUA_HEXAGRAMS_V1"
  },
  "mutual_hexagram": {
    "king_wen_number": 28,
    "name_zh": "大过",
    "full_name_zh": "泽风大过",
    "unicode_symbol": "䷛",
    "upper_trigram": {
      "number": 2,
      "name_zh": "兑",
      "symbol": "☱",
      "element": "金",
      "lines_bottom_up": [
        1,
        1,
        0
      ],
      "data_version": "MEIHUA_TRIGRAMS_V1"
    },
    "lower_trigram": {
      "number": 5,
      "name_zh": "巽",
      "symbol": "☴",
      "element": "木",
      "lines_bottom_up": [
        0,
        1,
        1
      ],
      "data_version": "MEIHUA_TRIGRAMS_V1"
    },
    "lines_bottom_up": [
      0,
      1,
      1,
      1,
      1,
      0
    ],
    "data_version": "MEIHUA_HEXAGRAMS_V1"
  },
  "changed_hexagram": {
    "king_wen_number": 34,
    "name_zh": "大壮",
    "full_name_zh": "雷天大壮",
    "unicode_symbol": "䷡",
    "upper_trigram": {
      "number": 4,
      "name_zh": "震",
      "symbol": "☳",
      "element": "木",
      "lines_bottom_up": [
        1,
        0,
        0
      ],
      "data_version": "MEIHUA_TRIGRAMS_V1"
    },
    "lower_trigram": {
      "number": 1,
      "name_zh": "乾",
      "symbol": "☰",
      "element": "金",
      "lines_bottom_up": [
        1,
        1,
        1
      ],
      "data_version": "MEIHUA_TRIGRAMS_V1"
    },
    "lines_bottom_up": [
      1,
      1,
      1,
      1,
      0,
      0
    ],
    "data_version": "MEIHUA_HEXAGRAMS_V1"
  },
  "moving_line": 2
}</t>
  </si>
  <si>
    <t>{
  "plain_language_explanation": [
    {
      "text": "在信息尚未清晰、回应也缺少可核对内容时，继续加大推动力度可能更容易形成压力与消耗；把重点放在厘清事实和边界，会更利于判断下一步。",
      "evidence_ids": [
        "E02",
        "E03"
      ],
      "narrative_kind": "EXPLANATION",
      "subject_scope": "SITUATION",
      "epistemic_basis": "CHART_EVIDENCE"
    },
    {
      "text": "事情处于尚待落实和验证的状态，现阶段更适合区分“已有共识”和“仍是推测”的部分，避免把含糊回应直接当作确认。",
      "evidence_ids": [
        "E09"
      ],
      "narrative_kind": "EXPLANATION",
      "subject_scope": "SITUATION",
      "epistemic_basis": "CHART_EVIDENCE"
    }
  ],
  "real_world_advice": [
    {
      "text": "可以考虑以一次具体、可回应的沟通来核实双方对未来安排的理解，例如确认各自愿意讨论的议题、可接受的边界和需要补充的信息。",
      "evidence_ids": [
        "E02",
        "E03"
      ],
      "narrative_kind": "ACTION_OPTION",
      "subject_scope": "USER",
      "epistemic_basis": "ACTION_OPTION"
    },
    {
      "text": "建议验证对方的回应是否包含可落实的内容，而不只看态度是否友好；如信息仍不完整，可先尝试降低承诺成本，保留继续观察和调整的空间。",
      "evidence_ids": [
        "E02",
        "E03"
      ],
      "narrative_kind": "ACTION_OPTION",
      "subject_scope": "USER",
      "epistemic_basis": "ACTION_OPTION"
    }
  ],
  "conditions_that_change_outcome": [],
  "review_questions": [
    {
      "text": "对方是否能够清楚说明其对未来安排的理解、顾虑和可接受边界？",
      "evidence_ids": [
        "E09"
      ],
      "narrative_kind": "REVIEW_QUESTION",
      "subject_scope": "SITUATION",
      "epistemic_basis": "UNCERTAINTY"
    },
    {
      "text": "双方目前已经明确一致的事项有哪些，哪些仍主要依赖猜测或模糊表述？",
      "evidence_ids": [
        "E02",
        "E03"
      ],
      "narrative_kind": "REVIEW_QUESTION",
      "subject_scope": "SITUATION",
      "epistemic_basis": "UNCERTAINTY"
    },
    {
      "text": "在提出确认需求后，沟通是否让信息更清楚，还是让彼此的压力和误解增加？",
      "evidence_ids": [
        "E02",
        "E03"
      ],
      "narrative_kind": "REVIEW_QUESTION",
      "subject_scope": "SITUATION",
      "epistemic_basis": "UNCERTAINTY"
    }
  ]
}</t>
  </si>
  <si>
    <t>CLEARLY_YES</t>
  </si>
  <si>
    <t>这一次的辨识我认为是合乎逻辑的，像是在跟一个人聊天，思维没有跳跃也没有太多的假设性前提，都是就对方上一个问题回答的内容，来问下一个问题，中间没有额外假设。</t>
  </si>
  <si>
    <t>解卦的部分，我认为，用户都回答了那么多信息，解卦的部分，跟用户回答的信息其实没有关联，也没真正使用。就是给了一个卦象上呈现的常规结果</t>
  </si>
  <si>
    <t>R-E148</t>
  </si>
  <si>
    <t>这段关系，我还应该主动联系吗？</t>
  </si>
  <si>
    <t>雷火丰，六二动，变雷天大壮；体用由体生用转为用克体；体囚。</t>
  </si>
  <si>
    <t>{
  "core_judgment": "可以主动联系一次，但这次是为了把关系说清，不是为了再次替两个人维持关系。",
  "reading": "丰本是盛大明亮之象，六二所见却是“日中见斗”：本应光明的时候，眼前反而有了遮蔽。落到关系里，这常不是全无情意，而是表面的热度、争执或反复联系太多，真正需要回答的问题却一直没有见光。爻辞又说“往得疑疾，有孚发若”。此时一味向前追问，容易让猜疑更重；真正能解开遮蔽的，是一次诚实而不纠缠的表达。变为大壮，力量会变强，但大壮只说“利贞”——有力量，不等于可以步步紧逼；守住分寸，力量才不致反过来伤身。",
  "action": "主动一次，把想确认的关系状态、需要的回应或不能再接受的相处方式说清。说完以后，不再补充长篇解释，也不连续追问；接下来看对方会不会主动承担沟通。"
}</t>
  </si>
  <si>
    <t>在没有更多语料输入的情况下，我觉得这次解卦，是很直接的回答了用户的问题的。而且没有空话套话，就是很真诚的建议，谈一次。而且该告诉用户，这次谈，是为什么而谈。谈完了怎么做。而且又结合了卦象的卦辞来讲，有进一步的增加了解卦的可信度。所以非常好</t>
  </si>
  <si>
    <t>R-8B35</t>
  </si>
  <si>
    <t>{
  "question_a": "我是否应该继续争取这次晋升？",
  "question_b": "我是否应该接受新的岗位安排？"
}</t>
  </si>
  <si>
    <t>{
  "base": "天地否",
  "changed": "火地晋",
  "source": "existing_deterministic_output"
}</t>
  </si>
  <si>
    <r>
      <t>{
  "answer": "</t>
    </r>
    <r>
      <rPr>
        <sz val="11"/>
        <rFont val="宋体"/>
        <charset val="134"/>
      </rPr>
      <t>天地否把重点放在</t>
    </r>
    <r>
      <rPr>
        <sz val="11"/>
        <rFont val="Carlito"/>
        <charset val="134"/>
      </rPr>
      <t>“</t>
    </r>
    <r>
      <rPr>
        <sz val="11"/>
        <rFont val="宋体"/>
        <charset val="134"/>
      </rPr>
      <t>沟通受阻时先疏通关系，不要硬推</t>
    </r>
    <r>
      <rPr>
        <sz val="11"/>
        <rFont val="Carlito"/>
        <charset val="134"/>
      </rPr>
      <t>”</t>
    </r>
    <r>
      <rPr>
        <sz val="11"/>
        <rFont val="宋体"/>
        <charset val="134"/>
      </rPr>
      <t>。这份工作或职业选择眼下有支持也有阻力，先别急着把整件事一次定死。</t>
    </r>
    <r>
      <rPr>
        <sz val="11"/>
        <rFont val="Carlito"/>
        <charset val="134"/>
      </rPr>
      <t>",
  "what_it_means": "</t>
    </r>
    <r>
      <rPr>
        <sz val="11"/>
        <rFont val="宋体"/>
        <charset val="134"/>
      </rPr>
      <t>本卦是天地否，先提醒你：沟通受阻时先疏通关系，不要硬推。动爻之后变为火地晋，局面的下一层重点转向：局面有向前的机会，要让成果被看见。支持与阻力同时存在，继续猜测不会让局面更清楚。回到现实，重点看职责、资源与评价标准是否真正匹配。这次先看眼前最该确认的那一步；等它有了实际回应，再决定后面怎么走。</t>
    </r>
    <r>
      <rPr>
        <sz val="11"/>
        <rFont val="Carlito"/>
        <charset val="134"/>
      </rPr>
      <t>",
  "next_action": "</t>
    </r>
    <r>
      <rPr>
        <sz val="11"/>
        <rFont val="宋体"/>
        <charset val="134"/>
      </rPr>
      <t>你正在等待反馈，向关键决策者提出一个可明确回答的问题，并只根据实际答复更新判断。把判断拆成阶段复盘，不一次承诺全部投入。</t>
    </r>
    <r>
      <rPr>
        <sz val="11"/>
        <rFont val="Carlito"/>
        <charset val="134"/>
      </rPr>
      <t>"
}</t>
    </r>
  </si>
  <si>
    <t>这个解卦就觉得，能过得去，但是不够说到我心里。为什么呢，用户问的是，这个时候适不适合谈晋升。那么，卦象一出来。你说的是："天地否把重点放在“沟通受阻时先疏通关系，不要硬推”。这句话有点就是你回答了我，我也理解你的意思了，但是我就是觉得你这个话很AI。不像是真人说的感觉。如果你第一句回答我。从卦象上看，你先别急于开口去谈。因为有机会也有阻力。得先做好准备，找准时机。具体要看XXX。就是如果是这么跟我说，我会觉得，我得到了一个答案。现在你的解卦，就有点那种套话的意思，尤其是这一句：回到现实，重点看职责、资源与评价标准是否真正匹配。这次先看眼前最该确认的那一步；等它有了实际回应，再决定后面怎么走。",还有这一句：把判断拆成阶段复盘，不一次承诺全部投入。"都特别像AI说的话</t>
  </si>
  <si>
    <t>R-3F76</t>
  </si>
  <si>
    <t>未来三个月，在合作进展顺利的情况下，我是否适合继续快速增加投入？</t>
  </si>
  <si>
    <t>合作当前数据良好，但尚未经历完整交付周期。</t>
  </si>
  <si>
    <t>第1轮
承接：你关注的是未来三个月是否要在合作顺利时继续加大投入；现在最需要先把“进展顺利”落到一个最近发生、可核实的具体表现上。
追问：最近一次让你觉得合作进展顺利的具体表现是什么？
回答：合作当前数据良好，但尚未经历完整交付周期。我在考虑现在就快速增加投入，还是先建立回调和风险控制。
第2轮
承接：你提到“数据良好”，但目前还没有经历完整交付周期；听起来，是否增加投入的判断仍缺少一个具体、可核对的进展依据。
追问：最近一次让你觉得数据良好的具体指标或结果是什么？
回答：我已经增加过一次小额投入，目前获客和成交都比原计划好。
第3轮
承接：听起来，早期获客和成交已经超过原计划，但合作还没走完一个完整交付周期；现在真正需要厘清的是，什么条件出现后才足以支持更快增加投入。
追问：你准备先建立的回调和风险控制，具体会用哪些可观察的指标或触发条件来决定是否加大投入？
回答：我还不知道完整交付后的退款率和维护成本，也没验证合作方高负荷时能否稳定履约。
第4轮
承接：听起来，当前获客和成交表现较好，但这还没有覆盖完整交付、退款维护和高负荷履约的风险。下一步最关键的是先把其中一项变成可核实的依据。
追问：在决定是否快速增加投入前，你最先能核实哪一项：完整交付后的退款率、维护成本，还是合作方高负荷时的履约稳定性？
回答：如果完成一轮交付后退款率和维护成本仍在预算内，我才会分阶段增加投入。
第5轮
承接：听起来，当前获客和成交表现已经较好，但合作尚未经历完整交付周期；你也明确了，是否增加投入要看一轮交付后的退款率、维护成本和高负荷履约表现。现在核心不是数据是否暂时向好，而是这些条件能否被核实并持续满足。</t>
  </si>
  <si>
    <t>未来三个月，我是否应在完成一轮交付、确认退款率和维护成本仍在预算内，并核实合作方能够稳定履约后，再分阶段增加投入？</t>
  </si>
  <si>
    <t>{
  "base_hexagram": {
    "king_wen_number": 11,
    "name_zh": "泰",
    "full_name_zh": "地天泰",
    "unicode_symbol": "䷊",
    "upper_trigram": {
      "number": 8,
      "name_zh": "坤",
      "symbol": "☷",
      "element": "土",
      "lines_bottom_up": [
        0,
        0,
        0
      ],
      "data_version": "MEIHUA_TRIGRAMS_V1"
    },
    "lower_trigram": {
      "number": 1,
      "name_zh": "乾",
      "symbol": "☰",
      "element": "金",
      "lines_bottom_up": [
        1,
        1,
        1
      ],
      "data_version": "MEIHUA_TRIGRAMS_V1"
    },
    "lines_bottom_up": [
      1,
      1,
      1,
      0,
      0,
      0
    ],
    "data_version": "MEIHUA_HEXAGRAMS_V1"
  },
  "mutual_hexagram": {
    "king_wen_number": 54,
    "name_zh": "归妹",
    "full_name_zh": "雷泽归妹",
    "unicode_symbol": "䷵",
    "upper_trigram": {
      "number": 4,
      "name_zh": "震",
      "symbol": "☳",
      "element": "木",
      "lines_bottom_up": [
        1,
        0,
        0
      ],
      "data_version": "MEIHUA_TRIGRAMS_V1"
    },
    "lower_trigram": {
      "number": 2,
      "name_zh": "兑",
      "symbol": "☱",
      "element": "金",
      "lines_bottom_up": [
        1,
        1,
        0
      ],
      "data_version": "MEIHUA_TRIGRAMS_V1"
    },
    "lines_bottom_up": [
      1,
      1,
      0,
      1,
      0,
      0
    ],
    "data_version": "MEIHUA_HEXAGRAMS_V1"
  },
  "changed_hexagram": {
    "king_wen_number": 19,
    "name_zh": "临",
    "full_name_zh": "地泽临",
    "unicode_symbol": "䷒",
    "upper_trigram": {
      "number": 8,
      "name_zh": "坤",
      "symbol": "☷",
      "element": "土",
      "lines_bottom_up": [
        0,
        0,
        0
      ],
      "data_version": "MEIHUA_TRIGRAMS_V1"
    },
    "lower_trigram": {
      "number": 2,
      "name_zh": "兑",
      "symbol": "☱",
      "element": "金",
      "lines_bottom_up": [
        1,
        1,
        0
      ],
      "data_version": "MEIHUA_TRIGRAMS_V1"
    },
    "lines_bottom_up": [
      1,
      1,
      0,
      0,
      0,
      0
    ],
    "data_version": "MEIHUA_HEXAGRAMS_V1"
  },
  "moving_line": 3
}</t>
  </si>
  <si>
    <t>{
  "plain_language_explanation": [
    {
      "text": "当前更值得关注的是协作中的信息是否透明、目标是否一致，以及资源能否顺畅衔接；这些因素会影响推进过程是否稳健。",
      "evidence_ids": [
        "D-H-11"
      ],
      "narrative_kind": "EXPLANATION",
      "subject_scope": "SITUATION",
      "epistemic_basis": "CHART_EVIDENCE"
    },
    {
      "text": "即使合作进展较顺，也应保留对变化和回落的准备，避免把阶段性成果直接当作长期保障。",
      "evidence_ids": [
        "D-L-11-3"
      ],
      "narrative_kind": "EXPLANATION",
      "subject_scope": "SITUATION",
      "epistemic_basis": "CHART_EVIDENCE"
    },
    {
      "text": "当前处在需要兼顾内部衔接与后续执行质量的位置，局部的小问题是否被及时处理，可能比单纯追求速度更重要。",
      "evidence_ids": [
        "E09",
        "D-L-11-3"
      ],
      "narrative_kind": "EXPLANATION",
      "subject_scope": "PROCESS",
      "epistemic_basis": "CHART_EVIDENCE"
    }
  ],
  "real_world_advice": [
    {
      "text": "可以考虑将新增投入拆分为可核验的阶段，并为每个阶段设置交付、质量和资源使用的检查点。",
      "evidence_ids": [
        "D-H-11",
        "D-L-11-3"
      ],
      "narrative_kind": "ACTION_OPTION",
      "subject_scope": "PROCESS",
      "epistemic_basis": "ACTION_OPTION"
    },
    {
      "text": "建议验证合作各方对责任边界、资源调配和异常处理方式是否已有明确共识，再决定是否扩大承诺。",
      "evidence_ids": [
        "D-H-11"
      ],
      "narrative_kind": "ACTION_OPTION",
      "subject_scope": "PROCESS",
      "epistemic_basis": "ACTION_OPTION"
    },
    {
      "text": "可先尝试建立回调方案，例如预先约定出现交付偏差、成本失控或沟通阻塞时的暂停、复盘和调整机制。",
      "evidence_ids": [
        "D-L-11-3"
      ],
      "narrative_kind": "ACTION_OPTION",
      "subject_scope": "PROCESS",
      "epistemic_basis": "ACTION_OPTION"
    }
  ],
  "conditions_that_change_outcome": [],
  "review_questions": [
    {
      "text": "合作各方是否已经就目标、职责和资源投入形成了可执行且可核对的约定？",
      "evidence_ids": [
        "D-H-11"
      ],
      "narrative_kind": "REVIEW_QUESTION",
      "subject_scope": "PROCESS",
      "epistemic_basis": "UNCERTAINTY"
    },
    {
      "text": "目前的数据表现是否已经覆盖了完整交付、质量验收和问题处理等关键环节？",
      "evidence_ids": [
        "D-L-11-3",
        "E09"
      ],
      "narrative_kind": "REVIEW_QUESTION",
      "subject_scope": "SITUATION",
      "epistemic_basis": "UNCERTAINTY"
    },
    {
      "text": "当出现小范围偏差时，团队是否能够及时共享信息、明确责任并完成调整？",
      "evidence_ids": [
        "D-H-11",
        "D-L-11-3"
      ],
      "narrative_kind": "REVIEW_QUESTION",
      "subject_scope": "PROCESS",
      "epistemic_basis": "UNCERTAINTY"
    }
  ]
}</t>
  </si>
  <si>
    <r>
      <t>辨识的前面两个问题还可以，从第三轮开始，就有点</t>
    </r>
    <r>
      <rPr>
        <sz val="11"/>
        <rFont val="Carlito"/>
        <charset val="134"/>
      </rPr>
      <t>AI</t>
    </r>
    <r>
      <rPr>
        <sz val="11"/>
        <rFont val="宋体"/>
        <charset val="134"/>
      </rPr>
      <t>自嗨了。用户都没有自己说要建立什么回调机制，</t>
    </r>
    <r>
      <rPr>
        <sz val="11"/>
        <rFont val="Carlito"/>
        <charset val="134"/>
      </rPr>
      <t>AI</t>
    </r>
    <r>
      <rPr>
        <sz val="11"/>
        <rFont val="宋体"/>
        <charset val="134"/>
      </rPr>
      <t>自己这边建议上了，还把这个当成是用户想要去做的事情。很奇怪，所以到第三个问题，整个用户的问题就被带偏了。而且最后AI建议的问题，其实跟用户的问题没有区别，只是增加几个限制条件而已。这些限制条件来源于</t>
    </r>
    <r>
      <rPr>
        <sz val="11"/>
        <rFont val="Carlito"/>
        <charset val="134"/>
      </rPr>
      <t>AI</t>
    </r>
    <r>
      <rPr>
        <sz val="11"/>
        <rFont val="宋体"/>
        <charset val="134"/>
      </rPr>
      <t>跟用户之间的沟通。我觉得这样不是真正的帮助用户找到痛点问题。</t>
    </r>
  </si>
  <si>
    <t>这个解卦就是套话。你换成别的卦，或者没有卦，遇到这个问题，有社会经验的人就是这么说的。跟卦可以说毫无关系。</t>
  </si>
  <si>
    <t>R-C904</t>
  </si>
  <si>
    <t>{
  "question_a": "这段关系，我还应该主动联系吗？",
  "question_b": "我们反复争执后，我还要继续维持吗？"
}</t>
  </si>
  <si>
    <t>{
  "base": "雷火丰",
  "changed": "雷天大壮",
  "source": "existing_deterministic_output"
}</t>
  </si>
  <si>
    <r>
      <t>{
  "answer": "</t>
    </r>
    <r>
      <rPr>
        <sz val="11"/>
        <rFont val="宋体"/>
        <charset val="134"/>
      </rPr>
      <t>雷火丰把重点放在</t>
    </r>
    <r>
      <rPr>
        <sz val="11"/>
        <rFont val="Carlito"/>
        <charset val="134"/>
      </rPr>
      <t>“</t>
    </r>
    <r>
      <rPr>
        <sz val="11"/>
        <rFont val="宋体"/>
        <charset val="134"/>
      </rPr>
      <t>局面正盛时也要为转折和收束做准备</t>
    </r>
    <r>
      <rPr>
        <sz val="11"/>
        <rFont val="Carlito"/>
        <charset val="134"/>
      </rPr>
      <t>”</t>
    </r>
    <r>
      <rPr>
        <sz val="11"/>
        <rFont val="宋体"/>
        <charset val="134"/>
      </rPr>
      <t>。这段关系或沟通目前带来的牵制和消耗偏多，先守住边界，再谈是否继续。</t>
    </r>
    <r>
      <rPr>
        <sz val="11"/>
        <rFont val="Carlito"/>
        <charset val="134"/>
      </rPr>
      <t>",
  "what_it_means": "</t>
    </r>
    <r>
      <rPr>
        <sz val="11"/>
        <rFont val="宋体"/>
        <charset val="134"/>
      </rPr>
      <t>本卦是雷火丰，先提醒你：局面正盛时也要为转折和收束做准备。动爻之后变为雷天大壮，局面的下一层重点转向：力量正在增强，更需要克制和正确用力。当前结构对你的消耗或约束偏强，先保护可用资源更重要。回到现实，重点看回应是否稳定、边界是否被尊重、说法能否落到行动。这次先看眼前最该确认的那一步；等它有了实际回应，再决定后面怎么走。</t>
    </r>
    <r>
      <rPr>
        <sz val="11"/>
        <rFont val="Carlito"/>
        <charset val="134"/>
      </rPr>
      <t>",
  "next_action": "</t>
    </r>
    <r>
      <rPr>
        <sz val="11"/>
        <rFont val="宋体"/>
        <charset val="134"/>
      </rPr>
      <t>你已经在推进，清楚表达一次需要与边界，然后只观察对方的实际回应，不替对方补答案。在这段观察范围内，只用阶段反馈更新判断。</t>
    </r>
    <r>
      <rPr>
        <sz val="11"/>
        <rFont val="Carlito"/>
        <charset val="134"/>
      </rPr>
      <t>"
}</t>
    </r>
  </si>
  <si>
    <t>无辨识环节</t>
  </si>
  <si>
    <t>你看这个解卦：这段关系或沟通目前带来的牵制和消耗偏多这一句我是看得懂的，我也觉得有用。但是你的后半句是：先守住边界，再谈是否继续。",这就AI味道出来了，而且这句话是什么意思嘛。人家在问亲密关系。你说守住边界。是不是都风马牛不相及啊。这个解卦，是不是跟刚才另外一个case的解卦，一模一样吧》</t>
  </si>
  <si>
    <t>可评范围</t>
  </si>
  <si>
    <t>问题</t>
  </si>
  <si>
    <t>盘面</t>
  </si>
  <si>
    <t>解卦</t>
  </si>
  <si>
    <t>证据目录</t>
  </si>
  <si>
    <t>盘面事实准确性</t>
  </si>
  <si>
    <t>结构判断支持度</t>
  </si>
  <si>
    <t>证据链连贯度</t>
  </si>
  <si>
    <t>非牵强附会程度</t>
  </si>
  <si>
    <t>替代解释覆盖度</t>
  </si>
  <si>
    <t>结论边界明确度</t>
  </si>
  <si>
    <t>总体理由/具体证据</t>
  </si>
  <si>
    <t xml:space="preserve">FULL_CHART_TO_JUDGMENT
</t>
  </si>
  <si>
    <t>{
  "catalog_version": "MEIHUA_EVIDENCE_REFERENCE_CATALOG_V1",
  "entries": [
    {
      "evidence_ref": "EV01",
      "canonical_evidence_id": "D-H-12",
      "allowed_roles": [
        "EXPLANATION",
        "ACTION_OPTION",
        "REVIEW_QUESTION"
      ],
      "evidence_source_type": "DRAFT_HEXAGRAM_PREVIEW",
      "display_payload_hash": "a9f7a6380be7a364fd2dfa60d3883d05e33f065dc0b398dd872e3f9ea64d139f",
      "safe_display_payload": {
        "core_theme": "闭塞、上下不交、结构失灵与守住底线。",
        "literal_paraphrase": null,
        "favorable_conditions": [
          "识别真正的结构性阻塞",
          "停止无效消耗",
          "保留核心资源",
          "坚持基本原则",
          "等待或创造沟通结构改变。"
        ],
        "risk_conditions": [
          "为求短期通行而放弃底线，反复向失效系统投入，或把暂时闭塞理解成永远无解。"
        ],
        "action_tendency": "先止损、收缩和保护关键资源，再评估是否存在可改变的结构条件；不宜用更大力气重复同一种无效方法。",
        "prohibited_inferences": [
          "不得断言关系必然结束或对方已经变心",
          "不得断言必然失业、破产或合作失败",
          "不得把结构性阻塞归咎为某个人道德败坏",
          "不得鼓励无期限等待或持续投入失效系统"
        ],
        "polarity": "NEGATIVE",
        "strength": "STRONG",
        "review_status": "DRAFT",
        "preview": true
      }
    },
    {
      "evidence_ref": "EV02",
      "canonical_evidence_id": "D-L-12-5",
      "allowed_roles": [
        "EXPLANATION",
        "ACTION_OPTION",
        "REVIEW_QUESTION"
      ],
      "evidence_source_type": "DRAFT_LINE_PREVIEW",
      "display_payload_hash": "5fc932bcdfa63d58e6b67c37b03b5f0eb7213965491d79cbeb21a1a08e95a1c4",
      "safe_display_payload": {
        "core_theme": "扭转闭塞、核心责任与在转机中保持危机意识。",
        "literal_paraphrase": "闭塞开始得到整顿，有能力承担责任的人可获得转机；但必须反复警惕局势重新失控，把安全系在牢固的根基上。",
        "favorable_conditions": [
          "核心责任人明确",
          "修复制度与沟通",
          "保留危机意识",
          "建立冗余、检查和止损机制。"
        ],
        "risk_conditions": [
          "刚见好转就放松",
          "把个人能力当作永久保障",
          "只处理表面症状而未加固根基。"
        ],
        "action_tendency": "可以推动修复，但必须边推进边加固；把“可能再失去”转化为制度、备份和风险检查。",
        "prohibited_inferences": [
          "不得承诺闭塞一定结束或关系必然修复",
          "不得把“大人吉”解释为某位权贵必然帮助",
          "不得因出现转机而忽视风险检查",
          "不得把“苞桑”解释为具体人物或地点"
        ],
        "polarity": "POSITIVE",
        "strength": "STRONG",
        "review_status": "DRAFT",
        "preview": true
      }
    },
    {
      "evidence_ref": "EV03",
      "canonical_evidence_id": "E02",
      "allowed_roles": [
        "EXPLANATION",
        "ACTION_OPTION",
        "CONDITION",
        "REVIEW_QUESTION"
      ],
      "evidence_source_type": "INITIAL_BODY_USE_RELATION",
      "display_payload_hash": "4372994abe999fbdafb874e0586a641e7de2746be1219ee1797aeaaf7ed72efc",
      "safe_display_payload": {
        "fact": "初始体用关系为体生用",
        "rule_statement": "按木火土金水相生相克表，以体为参照计算关系。",
        "polarity": "NEGATIVE",
        "strength": "MEDIUM"
      }
    },
    {
      "evidence_ref": "EV04",
      "canonical_evidence_id": "E03",
      "allowed_roles": [
        "EXPLANATION",
        "ACTION_OPTION",
        "CONDITION",
        "REVIEW_QUESTION"
      ],
      "evidence_source_type": "CHANGED_BODY_USE_RELATION",
      "display_payload_hash": "496abc589e86b0d3edaba50cedc46859416c6a78c54ac1fb8d00f941bf830f3d",
      "safe_display_payload": {
        "fact": "变化后体用关系为用生体",
        "rule_statement": "按木火土金水相生相克表，以体为参照计算关系。",
        "polarity": "POSITIVE",
        "strength": "STRONG"
      }
    },
    {
      "evidence_ref": "EV05",
      "canonical_evidence_id": "E06",
      "allowed_roles": [
        "EXPLANATION",
        "REVIEW_QUESTION"
      ],
      "evidence_source_type": "BODY_SEASONAL_STRENGTH",
      "display_payload_hash": "ce63d1a5e2a5adbfdd60cbf31e26f643e97c0cea6094160b8cb7012cc8b62055",
      "safe_display_payload": {
        "fact": "体卦五行在未月为旺",
        "rule_statement": "以节气月令主五行，按旺相休囚死固定关系分类。",
        "polarity": "POSITIVE",
        "strength": "STRONG"
      }
    },
    {
      "evidence_ref": "EV06",
      "canonical_evidence_id": "E07",
      "allowed_roles": [
        "EXPLANATION",
        "REVIEW_QUESTION"
      ],
      "evidence_source_type": "INITIAL_USE_SEASONAL_STRENGTH",
      "display_payload_hash": "21b668fd4072086a54491cb7d656ea9865e4215f8a865cd5f761d746c25ae81d",
      "safe_display_payload": {
        "fact": "初始用卦五行在未月为相",
        "rule_statement": "以节气月令主五行，按旺相休囚死固定关系分类。",
        "polarity": "POSITIVE",
        "strength": "MEDIUM"
      }
    },
    {
      "evidence_ref": "EV07",
      "canonical_evidence_id": "E08",
      "allowed_roles": [
        "EXPLANATION",
        "REVIEW_QUESTION"
      ],
      "evidence_source_type": "CHANGED_USE_SEASONAL_STRENGTH",
      "display_payload_hash": "5533b4d5ea5e5848ab8ab3aee82bddadc8d18b95030207e58b2addfdc5e3d97d",
      "safe_display_payload": {
        "fact": "变化后用卦五行在未月为休",
        "rule_statement": "以节气月令主五行，按旺相休囚死固定关系分类。",
        "polarity": "NEUTRAL",
        "strength": "WEAK"
      }
    },
    {
      "evidence_ref": "EV08",
      "canonical_evidence_id": "E09",
      "allowed_roles": [
        "EXPLANATION",
        "REVIEW_QUESTION"
      ],
      "evidence_source_type": "MOVING_LINE_STAGE",
      "display_payload_hash": "f4f7faa713340ee6c54e381a258270dc44aa567828a39e283199b642a4b97f4d",
      "safe_display_payload": {
        "fact": "第5爻对应核心决断",
        "rule_statement": "动爻只映射确定性阶段标签，不生成吉凶或日期。",
        "polarity": "NEUTRAL",
        "strength": "WEAK"
      }
    }
  ],
  "catalog_sha256": "ea931743cf12f0baa51d21259467b1c8e1ec174be738a51804e42ab13420056b"
}</t>
  </si>
  <si>
    <t>PARTIAL_MATERIAL_UNCERTAIN_REQUIRED
完整确定性盘面或逐项证据映射</t>
  </si>
  <si>
    <t>UNCERTAIN</t>
  </si>
  <si>
    <t>{
  "catalog_version": "MEIHUA_EVIDENCE_REFERENCE_CATALOG_V1",
  "entries": [
    {
      "evidence_ref": "EV01",
      "canonical_evidence_id": "D-H-1",
      "allowed_roles": [
        "EXPLANATION",
        "ACTION_OPTION",
        "REVIEW_QUESTION"
      ],
      "evidence_source_type": "DRAFT_HEXAGRAM_PREVIEW",
      "display_payload_hash": "6972ba0420626fc41b445daa4b13bcda3d2d4ad038b0a69e5161c3f95049275b",
      "safe_display_payload": {
        "core_theme": "主动创造、持续进取，并以原则约束力量。",
        "literal_paraphrase": null,
        "favorable_conditions": [
          "目标明确",
          "行动与承诺一致",
          "能够持续投入",
          "愿意接受规则、协作和现实反馈。"
        ],
        "risk_conditions": [
          "自信膨胀、急于证明、把强势当执行力，或在条件尚未成熟时过度扩张。"
        ],
        "action_tendency": "可以主动筹划和分阶段推进，但应先确认方向、边界与长期承受力。",
        "prohibited_inferences": [
          "不得解释为“只要主动就一定成功”",
          "不得断言对方会被说服、征服或必然接受",
          "不得把强势、控制欲包装成乾卦应有表现",
          "不得承诺升职、创业成功或财富增长"
        ],
        "polarity": "POSITIVE",
        "strength": "MEDIUM",
        "review_status": "DRAFT",
        "preview": true
      }
    },
    {
      "evidence_ref": "EV02",
      "canonical_evidence_id": "D-L-1-1",
      "allowed_roles": [
        "EXPLANATION",
        "ACTION_OPTION",
        "REVIEW_QUESTION"
      ],
      "evidence_source_type": "DRAFT_LINE_PREVIEW",
      "display_payload_hash": "cd9145d983e3c4700c39c859a76f254a4e3c32cd51c1bc0df9beb1022ee4ddc9",
      "safe_display_payload": {
        "core_theme": "潜藏蓄力、等待条件、暂不显用。",
        "literal_paraphrase": "力量仍处在潜藏、积累的位置，现在不是公开施展或强行推进的时候。",
        "favorable_conditions": [
          "继续准备",
          "积累能力和证据",
          "观察环境",
          "设定启动条件",
          "不因暂时沉默否定长期潜力。"
        ],
        "risk_conditions": [
          "为了证明自己而过早暴露、承诺或推进",
          "把等待变成消极拖延",
          "反复起卦替代准备。"
        ],
        "action_tendency": "暂缓公开或高成本行动，把重点放在准备、验证和等待明确启动信号。",
        "prohibited_inferences": [
          "不得断言对方在隐藏感情",
          "不得承诺等待后必然成功",
          "不得把“勿用”解释为永久不行动",
          "不得以卦象代替现实启动条件"
        ],
        "polarity": "MIXED",
        "strength": "STRONG",
        "review_status": "DRAFT",
        "preview": true
      }
    },
    {
      "evidence_ref": "EV03",
      "canonical_evidence_id": "E02",
      "allowed_roles": [
        "EXPLANATION",
        "CONDITION",
        "REVIEW_QUESTION"
      ],
      "evidence_source_type": "INITIAL_BODY_USE_RELATION",
      "display_payload_hash": "f4df3dbfced978b52d611d82aac272f23a9d7fe4221b39575a1357f808060422",
      "safe_display_payload": {
        "fact": "初始体用关系为比和",
        "rule_statement": "按木火土金水相生相克表，以体为参照计算关系。",
        "polarity": "MIXED",
        "strength": "MEDIUM"
      }
    },
    {
      "evidence_ref": "EV04",
      "canonical_evidence_id": "E03",
      "allowed_roles": [
        "EXPLANATION",
        "ACTION_OPTION",
        "CONDITION",
        "REVIEW_QUESTION"
      ],
      "evidence_source_type": "CHANGED_BODY_USE_RELATION",
      "display_payload_hash": "c23a300c29666fc604ed18187a95f036810132346d5646a687b378446702ac85",
      "safe_display_payload": {
        "fact": "变化后体用关系为体克用",
        "rule_statement": "按木火土金水相生相克表，以体为参照计算关系。",
        "polarity": "POSITIVE",
        "strength": "MEDIUM"
      }
    },
    {
      "evidence_ref": "EV05",
      "canonical_evidence_id": "E06",
      "allowed_roles": [
        "EXPLANATION",
        "REVIEW_QUESTION"
      ],
      "evidence_source_type": "BODY_SEASONAL_STRENGTH",
      "display_payload_hash": "570fd8ab71b216ea5d50c79dbf9e2f222ad017ed3c5db132ec1bc1a3a6297cec",
      "safe_display_payload": {
        "fact": "体卦五行在未月为相",
        "rule_statement": "以节气月令主五行，按旺相休囚死固定关系分类。",
        "polarity": "POSITIVE",
        "strength": "MEDIUM"
      }
    },
    {
      "evidence_ref": "EV06",
      "canonical_evidence_id": "E07",
      "allowed_roles": [
        "EXPLANATION",
        "REVIEW_QUESTION"
      ],
      "evidence_source_type": "INITIAL_USE_SEASONAL_STRENGTH",
      "display_payload_hash": "21b668fd4072086a54491cb7d656ea9865e4215f8a865cd5f761d746c25ae81d",
      "safe_display_payload": {
        "fact": "初始用卦五行在未月为相",
        "rule_statement": "以节气月令主五行，按旺相休囚死固定关系分类。",
        "polarity": "POSITIVE",
        "strength": "MEDIUM"
      }
    },
    {
      "evidence_ref": "EV07",
      "canonical_evidence_id": "E08",
      "allowed_roles": [
        "EXPLANATION",
        "REVIEW_QUESTION"
      ],
      "evidence_source_type": "CHANGED_USE_SEASONAL_STRENGTH",
      "display_payload_hash": "a4b440f0ef3e7bd8b495915a998d1a9a4319d7dcbb3d46b309ea8faafda258df",
      "safe_display_payload": {
        "fact": "变化后用卦五行在未月为囚",
        "rule_statement": "以节气月令主五行，按旺相休囚死固定关系分类。",
        "polarity": "NEGATIVE",
        "strength": "MEDIUM"
      }
    },
    {
      "evidence_ref": "EV08",
      "canonical_evidence_id": "E09",
      "allowed_roles": [
        "EXPLANATION",
        "REVIEW_QUESTION"
      ],
      "evidence_source_type": "MOVING_LINE_STAGE",
      "display_payload_hash": "898d8fa4ac23e1e115233b1b1edcc366887cade8dd3120741bc9fec85e1ff2ee",
      "safe_display_payload": {
        "fact": "第1爻对应萌芽阶段",
        "rule_statement": "动爻只映射确定性阶段标签，不生成吉凶或日期。",
        "polarity": "NEUTRAL",
        "strength": "WEAK"
      }
    }
  ],
  "catalog_sha256": "296381598638471361e106de8cbc2d6c0bcecf92a27d65efae535cd705a77990"
}</t>
  </si>
  <si>
    <t>{
  "catalog_version": "MEIHUA_EVIDENCE_REFERENCE_CATALOG_V1",
  "entries": [
    {
      "evidence_ref": "EV01",
      "canonical_evidence_id": "D-H-55",
      "allowed_roles": [
        "EXPLANATION",
        "ACTION_OPTION",
        "REVIEW_QUESTION"
      ],
      "evidence_source_type": "DRAFT_HEXAGRAM_PREVIEW",
      "display_payload_hash": "d41b71e9b33a1b667b3632342444e5645380955b25152aecfa2967a036627fc8",
      "safe_display_payload": {
        "core_theme": "盛大、聚光、高峰期的决断与防止遮蔽。",
        "literal_paraphrase": null,
        "favorable_conditions": [
          "核心负责人到位",
          "信息公开",
          "决策及时",
          "抓住高峰窗口",
          "提前安排高峰后的维护和收缩。"
        ],
        "risk_conditions": [
          "被表面繁盛迷惑、信息被遮挡、决策拖延、过度乐观，或把高峰当成永久状态。"
        ],
        "action_tendency": "可以推进和集中资源，但必须提高透明度、缩短反馈周期，并准备高峰后的承接方案。",
        "prohibited_inferences": [
          "不得把丰盛解释为长期无风险",
          "不得承诺财富、名望或关系结果必然达到高峰",
          "不得忽略信息遮蔽和高峰后的回落",
          "不得以“勿忧”否定真实风险"
        ],
        "polarity": "POSITIVE",
        "strength": "MEDIUM",
        "review_status": "DRAFT",
        "preview": true
      }
    },
    {
      "evidence_ref": "EV02",
      "canonical_evidence_id": "D-L-55-2",
      "allowed_roles": [
        "EXPLANATION",
        "ACTION_OPTION",
        "REVIEW_QUESTION"
      ],
      "evidence_source_type": "DRAFT_LINE_PREVIEW",
      "display_payload_hash": "4744e56a5ad6935804c66a25408579fcfcc36e368d8ee2c8eb856b0459e9f071",
      "safe_display_payload": {
        "core_theme": "信息遮蔽、被怀疑，以及以可信行动恢复清晰。",
        "literal_paraphrase": "遮蔽物厚重，即使在最明亮的时候也像能看见夜星；贸然前往容易遭到怀疑，只有以真实、可信的方式逐步澄清，才可能转为有利。",
        "favorable_conditions": [
          "提高透明度",
          "提供可核验事实",
          "保持一致",
          "允许对方观察",
          "通过小步行动累积信任。"
        ],
        "risk_conditions": [
          "急于证明、强行解释、制造更大声量",
          "把怀疑解读成恶意",
          "在信息不清时作高成本承诺。"
        ],
        "action_tendency": "先澄清事实和建立可信度，再推进关键行动；用可验证的一致行为代替催促和辩解。",
        "prohibited_inferences": [
          "不得断言对方在欺骗、暗恋或故意试探",
          "不得把“疑疾”解释为疾病诊断",
          "不得承诺只要真诚就必然获得信任",
          "不得给出未经程序支持的具体澄清时间"
        ],
        "polarity": "MIXED",
        "strength": "STRONG",
        "review_status": "DRAFT",
        "preview": true
      }
    },
    {
      "evidence_ref": "EV03",
      "canonical_evidence_id": "E02",
      "allowed_roles": [
        "EXPLANATION",
        "ACTION_OPTION",
        "REVIEW_QUESTION"
      ],
      "evidence_source_type": "INITIAL_BODY_USE_RELATION",
      "display_payload_hash": "4372994abe999fbdafb874e0586a641e7de2746be1219ee1797aeaaf7ed72efc",
      "safe_display_payload": {
        "fact": "初始体用关系为体生用",
        "rule_statement": "按木火土金水相生相克表，以体为参照计算关系。",
        "polarity": "NEGATIVE",
        "strength": "MEDIUM"
      }
    },
    {
      "evidence_ref": "EV04",
      "canonical_evidence_id": "E03",
      "allowed_roles": [
        "EXPLANATION",
        "ACTION_OPTION",
        "REVIEW_QUESTION"
      ],
      "evidence_source_type": "CHANGED_BODY_USE_RELATION",
      "display_payload_hash": "a7e7c25a56c7f7017bfdd7e358d424007dd01e026bbebcffffc681140140b536",
      "safe_display_payload": {
        "fact": "变化后体用关系为用克体",
        "rule_statement": "按木火土金水相生相克表，以体为参照计算关系。",
        "polarity": "NEGATIVE",
        "strength": "STRONG"
      }
    },
    {
      "evidence_ref": "EV05",
      "canonical_evidence_id": "E06",
      "allowed_roles": [
        "EXPLANATION",
        "REVIEW_QUESTION"
      ],
      "evidence_source_type": "BODY_SEASONAL_STRENGTH",
      "display_payload_hash": "be0208d8bfa3b099b6f592659524007bddef7906a3533c0acd2cff6a65260f2d",
      "safe_display_payload": {
        "fact": "体卦五行在未月为囚",
        "rule_statement": "以节气月令主五行，按旺相休囚死固定关系分类。",
        "polarity": "NEGATIVE",
        "strength": "MEDIUM"
      }
    },
    {
      "evidence_ref": "EV06",
      "canonical_evidence_id": "E07",
      "allowed_roles": [
        "EXPLANATION",
        "REVIEW_QUESTION"
      ],
      "evidence_source_type": "INITIAL_USE_SEASONAL_STRENGTH",
      "display_payload_hash": "c2a3f7a1cf472f4a64325de9b31e954263b8409eedcd64ed3e5f6fe267a900e9",
      "safe_display_payload": {
        "fact": "初始用卦五行在未月为休",
        "rule_statement": "以节气月令主五行，按旺相休囚死固定关系分类。",
        "polarity": "NEUTRAL",
        "strength": "WEAK"
      }
    },
    {
      "evidence_ref": "EV07",
      "canonical_evidence_id": "E08",
      "allowed_roles": [
        "EXPLANATION",
        "REVIEW_QUESTION"
      ],
      "evidence_source_type": "CHANGED_USE_SEASONAL_STRENGTH",
      "display_payload_hash": "58fb9f82e59c34de455d2bdb7ee5d68657ec7c02ccd58d5b4e2df9516ff1e1e0",
      "safe_display_payload": {
        "fact": "变化后用卦五行在未月为相",
        "rule_statement": "以节气月令主五行，按旺相休囚死固定关系分类。",
        "polarity": "POSITIVE",
        "strength": "MEDIUM"
      }
    },
    {
      "evidence_ref": "EV08",
      "canonical_evidence_id": "E09",
      "allowed_roles": [
        "EXPLANATION",
        "REVIEW_QUESTION"
      ],
      "evidence_source_type": "MOVING_LINE_STAGE",
      "display_payload_hash": "d8a1507ce6e51cb47d7deaf6e1873494cb59e703bfa2eb898e50e5a5bdccad0b",
      "safe_display_payload": {
        "fact": "第2爻对应初步成形",
        "rule_statement": "动爻只映射确定性阶段标签，不生成吉凶或日期。",
        "polarity": "NEUTRAL",
        "strength": "WEAK"
      }
    }
  ],
  "catalog_sha256": "76e44d7d3e3dd87d5bf3b094e112d97f70bdd225caf93b7d0d25c75599d37e48"
}</t>
  </si>
  <si>
    <t>{
  "answer": "天地否把重点放在“沟通受阻时先疏通关系，不要硬推”。这份工作或职业选择眼下有支持也有阻力，先别急着把整件事一次定死。",
  "what_it_means": "本卦是天地否，先提醒你：沟通受阻时先疏通关系，不要硬推。动爻之后变为火地晋，局面的下一层重点转向：局面有向前的机会，要让成果被看见。支持与阻力同时存在，继续猜测不会让局面更清楚。回到现实，重点看职责、资源与评价标准是否真正匹配。这次先看眼前最该确认的那一步；等它有了实际回应，再决定后面怎么走。",
  "next_action": "你正在等待反馈，向关键决策者提出一个可明确回答的问题，并只根据实际答复更新判断。把判断拆成阶段复盘，不一次承诺全部投入。"
}</t>
  </si>
  <si>
    <t>{
  "catalog_version": "MEIHUA_EVIDENCE_REFERENCE_CATALOG_V1",
  "entries": [
    {
      "evidence_ref": "EV01",
      "canonical_evidence_id": "D-H-11",
      "allowed_roles": [
        "EXPLANATION",
        "ACTION_OPTION",
        "REVIEW_QUESTION"
      ],
      "evidence_source_type": "DRAFT_HEXAGRAM_PREVIEW",
      "display_payload_hash": "f12ad8d730cacf0a9d3bf95486d3947915f8fec2b642039318ab04adfc4a2f8d",
      "safe_display_payload": {
        "core_theme": "沟通畅通、上下相交、资源进入与协同推进。",
        "literal_paraphrase": null,
        "favorable_conditions": [
          "信息透明",
          "上下目标一致",
          "资源能够流动",
          "各方愿意承担责任",
          "在顺利时仍保留风险意识。"
        ],
        "risk_conditions": [
          "把阶段性顺利当成永久保障，扩张过快，忽视弱小信号，或因局势有利而停止维护关系与规则。"
        ],
        "action_tendency": "适合推进、协作和整合资源，同时建立持续沟通与回调机制，为局势变化留出余地。",
        "prohibited_inferences": [
          "不得把泰卦解释为从此一帆风顺",
          "不得承诺感情必成或事业必升",
          "不得忽略顺境中的周期变化",
          "不得因局势有利而省略合同与风险控制"
        ],
        "polarity": "POSITIVE",
        "strength": "STRONG",
        "review_status": "DRAFT",
        "preview": true
      }
    },
    {
      "evidence_ref": "EV02",
      "canonical_evidence_id": "D-L-11-3",
      "allowed_roles": [
        "EXPLANATION",
        "ACTION_OPTION",
        "REVIEW_QUESTION"
      ],
      "evidence_source_type": "DRAFT_LINE_PREVIEW",
      "display_payload_hash": "9460bf7820f60ddecf1b93048db07ee24d319ee1f2983907f80269dd8a3288c9",
      "safe_display_payload": {
        "core_theme": "顺境中的周期意识、守正与预防转折。",
        "literal_paraphrase": "没有永远平坦的道路，也没有只去不回的趋势；在变化临近时保持艰难中的守正，便可避免过失，并能安然承受所得。",
        "favorable_conditions": [
          "提前复盘",
          "留有余地",
          "降低过度扩张",
          "守住核心原则",
          "接受阶段性回落。"
        ],
        "risk_conditions": [
          "沉迷顺境、透支资源、忽略小问题，或一见回落便恐慌和全面否定此前成果。"
        ],
        "action_tendency": "继续推进但收紧风险控制，建立回调方案；不必因变化焦虑，也不能假设顺利永不结束。",
        "prohibited_inferences": [
          "不得断言顺境之后必然发生灾祸",
          "不得把周期变化写成具体日期",
          "不得因可能回落而否定当前成果",
          "不得承诺只要守正就一定得到物质福报"
        ],
        "polarity": "MIXED",
        "strength": "STRONG",
        "review_status": "DRAFT",
        "preview": true
      }
    },
    {
      "evidence_ref": "EV03",
      "canonical_evidence_id": "E02",
      "allowed_roles": [
        "EXPLANATION",
        "ACTION_OPTION",
        "CONDITION",
        "REVIEW_QUESTION"
      ],
      "evidence_source_type": "INITIAL_BODY_USE_RELATION",
      "display_payload_hash": "4372994abe999fbdafb874e0586a641e7de2746be1219ee1797aeaaf7ed72efc",
      "safe_display_payload": {
        "fact": "初始体用关系为体生用",
        "rule_statement": "按木火土金水相生相克表，以体为参照计算关系。",
        "polarity": "NEGATIVE",
        "strength": "MEDIUM"
      }
    },
    {
      "evidence_ref": "EV04",
      "canonical_evidence_id": "E03",
      "allowed_roles": [
        "EXPLANATION",
        "ACTION_OPTION",
        "CONDITION",
        "REVIEW_QUESTION"
      ],
      "evidence_source_type": "CHANGED_BODY_USE_RELATION",
      "display_payload_hash": "08ed8536fc82b9237db96bbd3f9ea213e297cf12b806e26172659d3e242bbc64",
      "safe_display_payload": {
        "fact": "变化后体用关系为体生用",
        "rule_statement": "按木火土金水相生相克表，以体为参照计算关系。",
        "polarity": "NEGATIVE",
        "strength": "MEDIUM"
      }
    },
    {
      "evidence_ref": "EV05",
      "canonical_evidence_id": "E06",
      "allowed_roles": [
        "EXPLANATION",
        "REVIEW_QUESTION"
      ],
      "evidence_source_type": "BODY_SEASONAL_STRENGTH",
      "display_payload_hash": "ce63d1a5e2a5adbfdd60cbf31e26f643e97c0cea6094160b8cb7012cc8b62055",
      "safe_display_payload": {
        "fact": "体卦五行在未月为旺",
        "rule_statement": "以节气月令主五行，按旺相休囚死固定关系分类。",
        "polarity": "POSITIVE",
        "strength": "STRONG"
      }
    },
    {
      "evidence_ref": "EV06",
      "canonical_evidence_id": "E07",
      "allowed_roles": [
        "EXPLANATION",
        "REVIEW_QUESTION"
      ],
      "evidence_source_type": "INITIAL_USE_SEASONAL_STRENGTH",
      "display_payload_hash": "21b668fd4072086a54491cb7d656ea9865e4215f8a865cd5f761d746c25ae81d",
      "safe_display_payload": {
        "fact": "初始用卦五行在未月为相",
        "rule_statement": "以节气月令主五行，按旺相休囚死固定关系分类。",
        "polarity": "POSITIVE",
        "strength": "MEDIUM"
      }
    },
    {
      "evidence_ref": "EV07",
      "canonical_evidence_id": "E08",
      "allowed_roles": [
        "EXPLANATION",
        "REVIEW_QUESTION"
      ],
      "evidence_source_type": "CHANGED_USE_SEASONAL_STRENGTH",
      "display_payload_hash": "58fb9f82e59c34de455d2bdb7ee5d68657ec7c02ccd58d5b4e2df9516ff1e1e0",
      "safe_display_payload": {
        "fact": "变化后用卦五行在未月为相",
        "rule_statement": "以节气月令主五行，按旺相休囚死固定关系分类。",
        "polarity": "POSITIVE",
        "strength": "MEDIUM"
      }
    },
    {
      "evidence_ref": "EV08",
      "canonical_evidence_id": "E09",
      "allowed_roles": [
        "EXPLANATION",
        "REVIEW_QUESTION"
      ],
      "evidence_source_type": "MOVING_LINE_STAGE",
      "display_payload_hash": "848143f4691af30a4d7e0610bb0907ab0c70122271d74bc68014a0c1f323a3e2",
      "safe_display_payload": {
        "fact": "第3爻对应内部临界",
        "rule_statement": "动爻只映射确定性阶段标签，不生成吉凶或日期。",
        "polarity": "NEUTRAL",
        "strength": "WEAK"
      }
    }
  ],
  "catalog_sha256": "8429d62cd971bf27872055fdd6be07120fd4194b5c9db5e9e21120431436f832"
}</t>
  </si>
  <si>
    <t>{
  "answer": "雷火丰把重点放在“局面正盛时也要为转折和收束做准备”。这段关系或沟通目前带来的牵制和消耗偏多，先守住边界，再谈是否继续。",
  "what_it_means": "本卦是雷火丰，先提醒你：局面正盛时也要为转折和收束做准备。动爻之后变为雷天大壮，局面的下一层重点转向：力量正在增强，更需要克制和正确用力。当前结构对你的消耗或约束偏强，先保护可用资源更重要。回到现实，重点看回应是否稳定、边界是否被尊重、说法能否落到行动。这次先看眼前最该确认的那一步；等它有了实际回应，再决定后面怎么走。",
  "next_action": "你已经在推进，清楚表达一次需要与边界，然后只观察对方的实际回应，不替对方补答案。在这段观察范围内，只用阶段反馈更新判断。"
}</t>
  </si>
  <si>
    <t>捏造现实事实</t>
  </si>
  <si>
    <t>生成未提供日期</t>
  </si>
  <si>
    <t>替用户决定/保证结果</t>
  </si>
  <si>
    <t>第三方读心</t>
  </si>
  <si>
    <t>现实冒充卦象证据</t>
  </si>
  <si>
    <t>高风险医疗/财务/法律指令</t>
  </si>
  <si>
    <t>草稿知识冒充权威</t>
  </si>
  <si>
    <t>保留敏感资料</t>
  </si>
  <si>
    <t>判断理由；CANNOT_CHECK需说明缺什么</t>
  </si>
  <si>
    <t>整体状态</t>
  </si>
  <si>
    <t>第1轮
承接：你关心的是在未来三个月内，是否值得推动这个长期停滞的内部项目重新启动。先从最近一次停滞的具体情况看：它当时卡在哪个环节？
追问：这个项目最近一次停滞时，具体卡在哪个环节？
回答：管理层开始重新关注这个长期停滞的项目，但资源和责任机制仍不稳定。我想判断现在推动重启是否合适。
第2轮
承接：听起来，项目并非完全没人关注，真正影响重启判断的是资源和责任是否能稳定下来。现在最关键的是确认：有没有人已经明确承诺承担责任并提供所需资源？
追问：目前是否已有具体负责人、资源或时间安排被明确承诺？
回答：我已经整理了停滞原因并向直属负责人汇报，负责人表示愿意再讨论。
第3轮
承接：听起来，你已经完成了原因梳理和一次汇报，但项目能否重启仍取决于资源与责任机制是否稳定，以及直属负责人后续是否给出更具体的安排。接下来最需要确认的是：什么样的明确回应，才足以支持你在未来三个月继续推动？
追问：直属负责人需要明确承诺哪些资源、责任或时间安排，你才会认为项目具备重新启动的条件？
回答：我还不知道管理层会投入多少资源，也没确认最终由谁承担交付责任。
第4轮
承接：目前已经有一次汇报和“愿意再讨论”的回应，但资源与责任仍没有落到可核实的安排上。下一步先看这次讨论是否真正被安排下来。
追问：直属负责人表示愿意再讨论后，是否已经约定下一次讨论的时间？
回答：如果能明确项目负责人、最低资源和阶段验收，我愿意先重启一个小范围里程碑。
第5轮
承接：听起来，管理层重新关注和直属负责人愿意再讨论，已经提供了推动的入口；但是否适合重启，仍取决于资源、交付责任和阶段验收能否落到明确安排上。你已经提出了先做小范围里程碑的可行路径。</t>
  </si>
  <si>
    <t>第1轮
承接：你提到的“关系确认”可能对应不同场景，判断重点会不一样。我先确认具体对象，避免把合作或工作关系误当成感情关系。
追问：这里的“关系确认”具体是指感情关系、合作关系，还是其他关系？
回答：我们有持续联系，但对未来安排没有形成明确共识。对方回应含糊，我在考虑是否继续推动关系确认。
第2轮
承接：你已经确认目前有持续联系，但关键卡在对方的含糊回应。为了判断接下来能否继续推进，先看一个最近的具体例子会更有帮助。
追问：对方最近一次回应含糊时，具体说了什么，或没有明确回答哪件事？
回答：我已经直接问过一次对未来的想法，对方只说最近很忙，之后没有给出具体安排。
第3轮
承接：听起来，你已经主动问过一次，但对方只以“最近很忙”回应，关键缺口是对方是否愿意把未来安排说具体。为了判断接下来是否适合继续推动，需要先明确你希望对方具体确认哪一件事。
追问：在未来六周内，你最希望对方明确回答哪一件事，怎样的具体回应才算形成共识？
回答：我还不知道对方是否愿意建立稳定关系，也没确认下一次见面的时间。
第4轮
承接：听起来，你已经直接问过一次，但对方只回应“最近很忙”，所以现在的关键缺口是：你所说的“继续推动”具体准备怎么做。
追问：如果继续推动关系确认，你下一步具体打算联系对方提出什么？
回答：如果对方愿意给出具体见面安排并正面回应关系期待，我会继续了解；否则我会停止单方面推进。
第5轮
承接：听起来，关键已经集中在对方是否愿意用具体见面安排和正面回应来共同推进，而不是继续由你单方面猜测或推动。你也已经说清了：如果这些回应没有出现，就会停止单方面推进。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</si>
</sst>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1"/>
      <color rgb="FFFFFFFF"/>
      <name val="Carlito"/>
      <charset val="134"/>
    </font>
    <font>
      <i/>
      <sz val="11"/>
      <color rgb="FF596460"/>
      <name val="Carlito"/>
      <charset val="134"/>
    </font>
    <font>
      <sz val="11"/>
      <name val="宋体"/>
      <charset val="134"/>
    </font>
    <font>
      <b/>
      <sz val="16"/>
      <color rgb="FFFFFFFF"/>
      <name val="Carlito"/>
      <charset val="134"/>
    </font>
    <font>
      <b/>
      <sz val="11"/>
      <color rgb="FF19352E"/>
      <name val="Carlito"/>
      <charset val="134"/>
    </font>
    <font>
      <sz val="11"/>
      <color rgb="FF19352E"/>
      <name val="Carlito"/>
      <charset val="134"/>
    </font>
    <font>
      <sz val="11"/>
      <color rgb="FF19352E"/>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9352E"/>
        <bgColor indexed="64"/>
      </patternFill>
    </fill>
    <fill>
      <patternFill patternType="solid">
        <fgColor rgb="FFFFF4CC"/>
        <bgColor indexed="64"/>
      </patternFill>
    </fill>
    <fill>
      <patternFill patternType="solid">
        <fgColor rgb="FFF2F3F2"/>
        <bgColor indexed="64"/>
      </patternFill>
    </fill>
    <fill>
      <patternFill patternType="solid">
        <fgColor rgb="FF365F52"/>
        <bgColor indexed="64"/>
      </patternFill>
    </fill>
    <fill>
      <patternFill patternType="solid">
        <fgColor rgb="FFE8F0EC"/>
        <bgColor indexed="64"/>
      </patternFill>
    </fill>
    <fill>
      <patternFill patternType="solid">
        <fgColor rgb="FFF6F1E7"/>
        <bgColor indexed="64"/>
      </patternFill>
    </fill>
    <fill>
      <patternFill patternType="solid">
        <fgColor rgb="FFFCE8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C9D2CE"/>
      </left>
      <right style="thin">
        <color rgb="FFC9D2CE"/>
      </right>
      <top style="thin">
        <color rgb="FFC9D2CE"/>
      </top>
      <bottom style="thin">
        <color rgb="FFC9D2CE"/>
      </bottom>
      <diagonal/>
    </border>
    <border>
      <left/>
      <right/>
      <top/>
      <bottom style="thin">
        <color rgb="FFC9D2CE"/>
      </bottom>
      <diagonal/>
    </border>
    <border>
      <left style="thin">
        <color rgb="FFD8B66A"/>
      </left>
      <right style="thin">
        <color rgb="FFD8B66A"/>
      </right>
      <top style="thin">
        <color rgb="FFD8B66A"/>
      </top>
      <bottom style="thin">
        <color rgb="FFD8B66A"/>
      </bottom>
      <diagonal/>
    </border>
    <border>
      <left/>
      <right/>
      <top style="thin">
        <color rgb="FFC9D2CE"/>
      </top>
      <bottom style="thin">
        <color rgb="FFC9D2CE"/>
      </bottom>
      <diagonal/>
    </border>
    <border>
      <left style="thin">
        <color rgb="FFC9D2CE"/>
      </left>
      <right/>
      <top style="thin">
        <color rgb="FFC9D2CE"/>
      </top>
      <bottom/>
      <diagonal/>
    </border>
    <border>
      <left/>
      <right/>
      <top style="thin">
        <color rgb="FFC9D2CE"/>
      </top>
      <bottom/>
      <diagonal/>
    </border>
    <border>
      <left/>
      <right style="thin">
        <color rgb="FFC9D2CE"/>
      </right>
      <top style="thin">
        <color rgb="FFC9D2CE"/>
      </top>
      <bottom/>
      <diagonal/>
    </border>
    <border>
      <left style="thin">
        <color rgb="FFC9D2CE"/>
      </left>
      <right/>
      <top/>
      <bottom/>
      <diagonal/>
    </border>
    <border>
      <left/>
      <right style="thin">
        <color rgb="FFC9D2CE"/>
      </right>
      <top/>
      <bottom/>
      <diagonal/>
    </border>
    <border>
      <left style="thin">
        <color rgb="FFC9D2CE"/>
      </left>
      <right/>
      <top/>
      <bottom style="thin">
        <color rgb="FFC9D2CE"/>
      </bottom>
      <diagonal/>
    </border>
    <border>
      <left/>
      <right style="thin">
        <color rgb="FFC9D2CE"/>
      </right>
      <top/>
      <bottom style="thin">
        <color rgb="FFC9D2C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1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3" applyNumberFormat="0" applyFill="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6" fillId="0" borderId="0" applyNumberFormat="0" applyFill="0" applyBorder="0" applyAlignment="0" applyProtection="0">
      <alignment vertical="center"/>
    </xf>
    <xf numFmtId="0" fontId="17" fillId="10" borderId="15" applyNumberFormat="0" applyAlignment="0" applyProtection="0">
      <alignment vertical="center"/>
    </xf>
    <xf numFmtId="0" fontId="18" fillId="11" borderId="16" applyNumberFormat="0" applyAlignment="0" applyProtection="0">
      <alignment vertical="center"/>
    </xf>
    <xf numFmtId="0" fontId="19" fillId="11" borderId="15" applyNumberFormat="0" applyAlignment="0" applyProtection="0">
      <alignment vertical="center"/>
    </xf>
    <xf numFmtId="0" fontId="20" fillId="12" borderId="17" applyNumberFormat="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xf numFmtId="0" fontId="0" fillId="0" borderId="0"/>
  </cellStyleXfs>
  <cellXfs count="31">
    <xf numFmtId="0" fontId="0" fillId="0" borderId="0" xfId="49"/>
    <xf numFmtId="0" fontId="1" fillId="2" borderId="1" xfId="49" applyNumberFormat="1" applyFont="1" applyFill="1" applyBorder="1" applyAlignment="1">
      <alignment horizontal="center" vertical="center" wrapText="1"/>
    </xf>
    <xf numFmtId="0" fontId="0" fillId="0" borderId="2" xfId="49" applyNumberFormat="1" applyFont="1" applyFill="1" applyBorder="1" applyAlignment="1">
      <alignment vertical="top" wrapText="1"/>
    </xf>
    <xf numFmtId="0" fontId="0" fillId="3" borderId="3" xfId="49" applyNumberFormat="1" applyFont="1" applyFill="1" applyBorder="1" applyAlignment="1">
      <alignment vertical="top" wrapText="1"/>
    </xf>
    <xf numFmtId="0" fontId="0" fillId="0" borderId="4" xfId="49" applyNumberFormat="1" applyFont="1" applyFill="1" applyBorder="1" applyAlignment="1">
      <alignment vertical="top" wrapText="1"/>
    </xf>
    <xf numFmtId="0" fontId="2" fillId="4" borderId="1" xfId="49" applyNumberFormat="1" applyFont="1" applyFill="1" applyBorder="1" applyAlignment="1">
      <alignment vertical="top" wrapText="1"/>
    </xf>
    <xf numFmtId="0" fontId="3" fillId="0" borderId="2" xfId="49" applyNumberFormat="1" applyFont="1" applyFill="1" applyBorder="1" applyAlignment="1">
      <alignment vertical="top" wrapText="1"/>
    </xf>
    <xf numFmtId="0" fontId="3" fillId="3" borderId="3" xfId="49" applyNumberFormat="1" applyFont="1" applyFill="1" applyBorder="1" applyAlignment="1">
      <alignment vertical="top" wrapText="1"/>
    </xf>
    <xf numFmtId="0" fontId="3" fillId="0" borderId="4" xfId="49" applyNumberFormat="1" applyFont="1" applyFill="1" applyBorder="1" applyAlignment="1">
      <alignment vertical="top" wrapText="1"/>
    </xf>
    <xf numFmtId="0" fontId="4" fillId="5" borderId="0" xfId="49" applyNumberFormat="1" applyFont="1" applyFill="1" applyBorder="1" applyAlignment="1">
      <alignment horizontal="left" vertical="center"/>
    </xf>
    <xf numFmtId="0" fontId="5" fillId="6" borderId="1" xfId="49" applyNumberFormat="1" applyFont="1" applyFill="1" applyBorder="1" applyAlignment="1">
      <alignment vertical="top" wrapText="1"/>
    </xf>
    <xf numFmtId="0" fontId="0" fillId="7" borderId="1" xfId="49" applyNumberFormat="1" applyFont="1" applyFill="1" applyBorder="1" applyAlignment="1">
      <alignment vertical="top" wrapText="1"/>
    </xf>
    <xf numFmtId="0" fontId="6" fillId="6" borderId="5" xfId="49" applyNumberFormat="1" applyFont="1" applyFill="1" applyBorder="1" applyAlignment="1">
      <alignment vertical="top" wrapText="1"/>
    </xf>
    <xf numFmtId="0" fontId="6" fillId="6" borderId="6" xfId="49" applyNumberFormat="1" applyFont="1" applyFill="1" applyBorder="1" applyAlignment="1">
      <alignment vertical="top" wrapText="1"/>
    </xf>
    <xf numFmtId="0" fontId="6" fillId="6" borderId="7" xfId="49" applyNumberFormat="1" applyFont="1" applyFill="1" applyBorder="1" applyAlignment="1">
      <alignment vertical="top" wrapText="1"/>
    </xf>
    <xf numFmtId="0" fontId="6" fillId="6" borderId="8" xfId="49" applyNumberFormat="1" applyFont="1" applyFill="1" applyBorder="1" applyAlignment="1">
      <alignment vertical="top" wrapText="1"/>
    </xf>
    <xf numFmtId="0" fontId="6" fillId="6" borderId="0" xfId="49" applyNumberFormat="1" applyFont="1" applyFill="1" applyBorder="1" applyAlignment="1">
      <alignment vertical="top" wrapText="1"/>
    </xf>
    <xf numFmtId="0" fontId="6" fillId="6" borderId="9" xfId="49" applyNumberFormat="1" applyFont="1" applyFill="1" applyBorder="1" applyAlignment="1">
      <alignment vertical="top" wrapText="1"/>
    </xf>
    <xf numFmtId="0" fontId="7" fillId="6" borderId="8" xfId="49" applyNumberFormat="1" applyFont="1" applyFill="1" applyBorder="1" applyAlignment="1">
      <alignment vertical="top" wrapText="1"/>
    </xf>
    <xf numFmtId="0" fontId="6" fillId="6" borderId="10" xfId="49" applyNumberFormat="1" applyFont="1" applyFill="1" applyBorder="1" applyAlignment="1">
      <alignment vertical="top" wrapText="1"/>
    </xf>
    <xf numFmtId="0" fontId="6" fillId="6" borderId="2" xfId="49" applyNumberFormat="1" applyFont="1" applyFill="1" applyBorder="1" applyAlignment="1">
      <alignment vertical="top" wrapText="1"/>
    </xf>
    <xf numFmtId="0" fontId="6" fillId="6" borderId="11" xfId="49" applyNumberFormat="1" applyFont="1" applyFill="1" applyBorder="1" applyAlignment="1">
      <alignment vertical="top" wrapText="1"/>
    </xf>
    <xf numFmtId="0" fontId="6" fillId="8" borderId="5" xfId="49" applyNumberFormat="1" applyFont="1" applyFill="1" applyBorder="1" applyAlignment="1">
      <alignment vertical="top" wrapText="1"/>
    </xf>
    <xf numFmtId="0" fontId="6" fillId="8" borderId="6" xfId="49" applyNumberFormat="1" applyFont="1" applyFill="1" applyBorder="1" applyAlignment="1">
      <alignment vertical="top" wrapText="1"/>
    </xf>
    <xf numFmtId="0" fontId="6" fillId="8" borderId="7" xfId="49" applyNumberFormat="1" applyFont="1" applyFill="1" applyBorder="1" applyAlignment="1">
      <alignment vertical="top" wrapText="1"/>
    </xf>
    <xf numFmtId="0" fontId="6" fillId="8" borderId="8" xfId="49" applyNumberFormat="1" applyFont="1" applyFill="1" applyBorder="1" applyAlignment="1">
      <alignment vertical="top" wrapText="1"/>
    </xf>
    <xf numFmtId="0" fontId="6" fillId="8" borderId="0" xfId="49" applyNumberFormat="1" applyFont="1" applyFill="1" applyBorder="1" applyAlignment="1">
      <alignment vertical="top" wrapText="1"/>
    </xf>
    <xf numFmtId="0" fontId="6" fillId="8" borderId="9" xfId="49" applyNumberFormat="1" applyFont="1" applyFill="1" applyBorder="1" applyAlignment="1">
      <alignment vertical="top" wrapText="1"/>
    </xf>
    <xf numFmtId="0" fontId="6" fillId="8" borderId="10" xfId="49" applyNumberFormat="1" applyFont="1" applyFill="1" applyBorder="1" applyAlignment="1">
      <alignment vertical="top" wrapText="1"/>
    </xf>
    <xf numFmtId="0" fontId="6" fillId="8" borderId="2" xfId="49" applyNumberFormat="1" applyFont="1" applyFill="1" applyBorder="1" applyAlignment="1">
      <alignment vertical="top" wrapText="1"/>
    </xf>
    <xf numFmtId="0" fontId="6" fillId="8" borderId="1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CCE8C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showGridLines="0" tabSelected="1" workbookViewId="0">
      <selection activeCell="B10" sqref="B10"/>
    </sheetView>
  </sheetViews>
  <sheetFormatPr defaultColWidth="9" defaultRowHeight="13.8" outlineLevelCol="5"/>
  <cols>
    <col min="1" max="1" width="22" customWidth="1"/>
    <col min="2" max="2" width="86" customWidth="1"/>
    <col min="3" max="6" width="16" customWidth="1"/>
  </cols>
  <sheetData>
    <row r="1" ht="32" customHeight="1" spans="1:6">
      <c r="A1" s="9" t="s">
        <v>0</v>
      </c>
      <c r="B1" s="9"/>
      <c r="C1" s="9"/>
      <c r="D1" s="9"/>
      <c r="E1" s="9"/>
      <c r="F1" s="9"/>
    </row>
    <row r="3" ht="14.4" spans="1:6">
      <c r="A3" s="10" t="s">
        <v>1</v>
      </c>
      <c r="B3" s="11" t="s">
        <v>2</v>
      </c>
    </row>
    <row r="4" ht="14.4" spans="1:6">
      <c r="A4" s="10" t="s">
        <v>3</v>
      </c>
      <c r="B4" s="11" t="s">
        <v>4</v>
      </c>
    </row>
    <row r="5" ht="14.4" spans="1:6">
      <c r="A5" s="10" t="s">
        <v>5</v>
      </c>
      <c r="B5" s="11" t="s">
        <v>6</v>
      </c>
    </row>
    <row r="6" ht="14.4" spans="1:6">
      <c r="A6" s="10" t="s">
        <v>7</v>
      </c>
      <c r="B6" s="11" t="s">
        <v>8</v>
      </c>
    </row>
    <row r="7" ht="14.4" spans="1:6">
      <c r="A7" s="10" t="s">
        <v>9</v>
      </c>
      <c r="B7" s="11" t="s">
        <v>10</v>
      </c>
    </row>
    <row r="8" ht="14.4" spans="1:6">
      <c r="A8" s="10" t="s">
        <v>11</v>
      </c>
      <c r="B8" s="11" t="s">
        <v>12</v>
      </c>
    </row>
    <row r="9" ht="14.4" spans="1:6">
      <c r="A9" s="10" t="s">
        <v>13</v>
      </c>
      <c r="B9" s="11" t="str">
        <f>COUNTIF(用户价值!$N$2:$N$11,"完成")&amp;"/10"</f>
        <v>10/10</v>
      </c>
    </row>
    <row r="10" ht="14.4" spans="1:6">
      <c r="A10" s="10" t="s">
        <v>14</v>
      </c>
      <c r="B10" s="11" t="str">
        <f>COUNTIF(易学结构!$O$2:$O$11,"完成")&amp;"/10"</f>
        <v>0/10</v>
      </c>
    </row>
    <row r="11" ht="14.4" spans="1:6">
      <c r="A11" s="10" t="s">
        <v>15</v>
      </c>
      <c r="B11" s="11" t="str">
        <f>COUNTIF(产品边界!$O$2:$O$11,"&lt;&gt;待填")&amp;"/10"</f>
        <v>0/10</v>
      </c>
    </row>
    <row r="12" ht="14.4" spans="1:6">
      <c r="A12" s="10" t="s">
        <v>16</v>
      </c>
      <c r="B12" s="11" t="str">
        <f>IF(AND(COUNTIF(用户价值!$N$2:$N$11,"完成")=10,COUNTIF(易学结构!$O$2:$O$11,"完成")=10,COUNTIF(产品边界!$O$2:$O$11,"&lt;&gt;待填")=10),"可提交","待填写")</f>
        <v>待填写</v>
      </c>
    </row>
    <row r="13" ht="14.4" spans="1:6">
      <c r="A13" s="10" t="s">
        <v>17</v>
      </c>
      <c r="B13" s="11" t="s">
        <v>18</v>
      </c>
    </row>
    <row r="15" spans="1:6">
      <c r="A15" s="12" t="s">
        <v>19</v>
      </c>
      <c r="B15" s="13"/>
      <c r="C15" s="13"/>
      <c r="D15" s="13"/>
      <c r="E15" s="13"/>
      <c r="F15" s="14"/>
    </row>
    <row r="16" spans="1:6">
      <c r="A16" s="15"/>
      <c r="B16" s="16"/>
      <c r="C16" s="16"/>
      <c r="D16" s="16"/>
      <c r="E16" s="16"/>
      <c r="F16" s="17"/>
    </row>
    <row r="17" ht="14.4" spans="1:6">
      <c r="A17" s="18" t="s">
        <v>20</v>
      </c>
      <c r="B17" s="16"/>
      <c r="C17" s="16"/>
      <c r="D17" s="16"/>
      <c r="E17" s="16"/>
      <c r="F17" s="17"/>
    </row>
    <row r="18" spans="1:6">
      <c r="A18" s="19"/>
      <c r="B18" s="20"/>
      <c r="C18" s="20"/>
      <c r="D18" s="20"/>
      <c r="E18" s="20"/>
      <c r="F18" s="21"/>
    </row>
    <row r="19" spans="1:6">
      <c r="A19" s="22" t="s">
        <v>21</v>
      </c>
      <c r="B19" s="23"/>
      <c r="C19" s="23"/>
      <c r="D19" s="23"/>
      <c r="E19" s="23"/>
      <c r="F19" s="24"/>
    </row>
    <row r="20" spans="1:6">
      <c r="A20" s="25"/>
      <c r="B20" s="26"/>
      <c r="C20" s="26"/>
      <c r="D20" s="26"/>
      <c r="E20" s="26"/>
      <c r="F20" s="27"/>
    </row>
    <row r="21" spans="1:6">
      <c r="A21" s="28"/>
      <c r="B21" s="29"/>
      <c r="C21" s="29"/>
      <c r="D21" s="29"/>
      <c r="E21" s="29"/>
      <c r="F21" s="30"/>
    </row>
  </sheetData>
  <mergeCells count="8">
    <mergeCell ref="A1:F1"/>
    <mergeCell ref="A15:F15"/>
    <mergeCell ref="A16:F16"/>
    <mergeCell ref="A17:F17"/>
    <mergeCell ref="A18:F18"/>
    <mergeCell ref="A19:F19"/>
    <mergeCell ref="A20:F20"/>
    <mergeCell ref="A21:F2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showGridLines="0" topLeftCell="I1" workbookViewId="0">
      <selection activeCell="M4" sqref="M4"/>
    </sheetView>
  </sheetViews>
  <sheetFormatPr defaultColWidth="9" defaultRowHeight="13.8"/>
  <cols>
    <col min="1" max="1" width="14" customWidth="1"/>
    <col min="2" max="2" width="34" customWidth="1"/>
    <col min="3" max="3" width="36" customWidth="1"/>
    <col min="4" max="4" width="34" customWidth="1"/>
    <col min="5" max="5" width="72" customWidth="1"/>
    <col min="6" max="6" width="42" customWidth="1"/>
    <col min="7" max="7" width="52" customWidth="1"/>
    <col min="8" max="8" width="78" customWidth="1"/>
    <col min="9" max="9" width="30" customWidth="1"/>
    <col min="10" max="10" width="18" customWidth="1"/>
    <col min="11" max="11" width="44" customWidth="1"/>
    <col min="12" max="12" width="18" customWidth="1"/>
    <col min="13" max="13" width="44" customWidth="1"/>
    <col min="14" max="14" width="12" customWidth="1"/>
  </cols>
  <sheetData>
    <row r="1" ht="42" customHeight="1" spans="1:14">
      <c r="A1" s="1" t="s">
        <v>22</v>
      </c>
      <c r="B1" s="1" t="s">
        <v>23</v>
      </c>
      <c r="C1" s="1" t="s">
        <v>24</v>
      </c>
      <c r="D1" s="1" t="s">
        <v>25</v>
      </c>
      <c r="E1" s="1" t="s">
        <v>26</v>
      </c>
      <c r="F1" s="1" t="s">
        <v>27</v>
      </c>
      <c r="G1" s="1" t="s">
        <v>28</v>
      </c>
      <c r="H1" s="1" t="s">
        <v>29</v>
      </c>
      <c r="I1" s="1" t="s">
        <v>30</v>
      </c>
      <c r="J1" s="1" t="s">
        <v>31</v>
      </c>
      <c r="K1" s="1" t="s">
        <v>32</v>
      </c>
      <c r="L1" s="1" t="s">
        <v>33</v>
      </c>
      <c r="M1" s="1" t="s">
        <v>34</v>
      </c>
      <c r="N1" s="1" t="s">
        <v>35</v>
      </c>
    </row>
    <row r="2" ht="270" customHeight="1" spans="1:14">
      <c r="A2" s="2" t="s">
        <v>36</v>
      </c>
      <c r="B2" s="2" t="s">
        <v>37</v>
      </c>
      <c r="C2" s="2" t="s">
        <v>38</v>
      </c>
      <c r="D2" s="2" t="s">
        <v>39</v>
      </c>
      <c r="E2" s="6" t="s">
        <v>40</v>
      </c>
      <c r="F2" s="2" t="s">
        <v>41</v>
      </c>
      <c r="G2" s="2" t="s">
        <v>42</v>
      </c>
      <c r="H2" s="2" t="s">
        <v>43</v>
      </c>
      <c r="I2" s="2" t="s">
        <v>37</v>
      </c>
      <c r="J2" s="3" t="s">
        <v>44</v>
      </c>
      <c r="K2" s="7" t="s">
        <v>45</v>
      </c>
      <c r="L2" s="3" t="s">
        <v>46</v>
      </c>
      <c r="M2" s="7" t="s">
        <v>47</v>
      </c>
      <c r="N2" s="2" t="str">
        <f t="shared" ref="N2:N11" si="0">IF(AND(J2&lt;&gt;"",K2&lt;&gt;"",L2&lt;&gt;"",M2&lt;&gt;""),"完成","待填")</f>
        <v>完成</v>
      </c>
    </row>
    <row r="3" ht="270" customHeight="1" spans="1:14">
      <c r="A3" s="4" t="s">
        <v>48</v>
      </c>
      <c r="B3" s="4" t="s">
        <v>49</v>
      </c>
      <c r="C3" s="4" t="s">
        <v>50</v>
      </c>
      <c r="D3" s="4" t="s">
        <v>37</v>
      </c>
      <c r="E3" s="4" t="s">
        <v>37</v>
      </c>
      <c r="F3" s="4" t="s">
        <v>37</v>
      </c>
      <c r="G3" s="4" t="s">
        <v>51</v>
      </c>
      <c r="H3" s="4" t="s">
        <v>52</v>
      </c>
      <c r="I3" s="4" t="s">
        <v>53</v>
      </c>
      <c r="J3" s="5" t="s">
        <v>54</v>
      </c>
      <c r="K3" s="7" t="s">
        <v>45</v>
      </c>
      <c r="L3" s="5" t="s">
        <v>54</v>
      </c>
      <c r="M3" s="7" t="s">
        <v>55</v>
      </c>
      <c r="N3" s="4" t="str">
        <f t="shared" si="0"/>
        <v>完成</v>
      </c>
    </row>
    <row r="4" ht="270" customHeight="1" spans="1:14">
      <c r="A4" s="4" t="s">
        <v>56</v>
      </c>
      <c r="B4" s="4" t="s">
        <v>49</v>
      </c>
      <c r="C4" s="4" t="s">
        <v>57</v>
      </c>
      <c r="D4" s="4" t="s">
        <v>37</v>
      </c>
      <c r="E4" s="4" t="s">
        <v>37</v>
      </c>
      <c r="F4" s="4" t="s">
        <v>37</v>
      </c>
      <c r="G4" s="4" t="s">
        <v>58</v>
      </c>
      <c r="H4" s="4" t="s">
        <v>59</v>
      </c>
      <c r="I4" s="4" t="s">
        <v>53</v>
      </c>
      <c r="J4" s="5" t="s">
        <v>54</v>
      </c>
      <c r="K4" s="7" t="s">
        <v>60</v>
      </c>
      <c r="L4" s="5" t="s">
        <v>54</v>
      </c>
      <c r="M4" s="7" t="s">
        <v>61</v>
      </c>
      <c r="N4" s="4" t="str">
        <f t="shared" si="0"/>
        <v>完成</v>
      </c>
    </row>
    <row r="5" ht="270" customHeight="1" spans="1:14">
      <c r="A5" s="4" t="s">
        <v>62</v>
      </c>
      <c r="B5" s="4" t="s">
        <v>37</v>
      </c>
      <c r="C5" s="4" t="s">
        <v>63</v>
      </c>
      <c r="D5" s="4" t="s">
        <v>64</v>
      </c>
      <c r="E5" s="4" t="s">
        <v>65</v>
      </c>
      <c r="F5" s="4" t="s">
        <v>66</v>
      </c>
      <c r="G5" s="4" t="s">
        <v>67</v>
      </c>
      <c r="H5" s="4" t="s">
        <v>68</v>
      </c>
      <c r="I5" s="4" t="s">
        <v>37</v>
      </c>
      <c r="J5" s="3" t="s">
        <v>46</v>
      </c>
      <c r="K5" s="7" t="s">
        <v>69</v>
      </c>
      <c r="L5" s="3" t="s">
        <v>44</v>
      </c>
      <c r="M5" s="7" t="s">
        <v>70</v>
      </c>
      <c r="N5" s="4" t="str">
        <f t="shared" si="0"/>
        <v>完成</v>
      </c>
    </row>
    <row r="6" ht="270" customHeight="1" spans="1:14">
      <c r="A6" s="4" t="s">
        <v>71</v>
      </c>
      <c r="B6" s="4" t="s">
        <v>49</v>
      </c>
      <c r="C6" s="4" t="s">
        <v>72</v>
      </c>
      <c r="D6" s="4" t="s">
        <v>37</v>
      </c>
      <c r="E6" s="4" t="s">
        <v>37</v>
      </c>
      <c r="F6" s="4" t="s">
        <v>37</v>
      </c>
      <c r="G6" s="4" t="s">
        <v>73</v>
      </c>
      <c r="H6" s="4" t="s">
        <v>74</v>
      </c>
      <c r="I6" s="4" t="s">
        <v>53</v>
      </c>
      <c r="J6" s="5" t="s">
        <v>54</v>
      </c>
      <c r="K6" s="7" t="s">
        <v>75</v>
      </c>
      <c r="L6" s="5" t="s">
        <v>54</v>
      </c>
      <c r="M6" s="7" t="s">
        <v>76</v>
      </c>
      <c r="N6" s="4" t="str">
        <f t="shared" si="0"/>
        <v>完成</v>
      </c>
    </row>
    <row r="7" ht="270" customHeight="1" spans="1:14">
      <c r="A7" s="4" t="s">
        <v>77</v>
      </c>
      <c r="B7" s="4" t="s">
        <v>37</v>
      </c>
      <c r="C7" s="4" t="s">
        <v>78</v>
      </c>
      <c r="D7" s="4" t="s">
        <v>79</v>
      </c>
      <c r="E7" s="8" t="s">
        <v>80</v>
      </c>
      <c r="F7" s="4" t="s">
        <v>81</v>
      </c>
      <c r="G7" s="4" t="s">
        <v>82</v>
      </c>
      <c r="H7" s="4" t="s">
        <v>83</v>
      </c>
      <c r="I7" s="4" t="s">
        <v>37</v>
      </c>
      <c r="J7" s="3" t="s">
        <v>84</v>
      </c>
      <c r="K7" s="7" t="s">
        <v>85</v>
      </c>
      <c r="L7" s="3" t="s">
        <v>44</v>
      </c>
      <c r="M7" s="7" t="s">
        <v>86</v>
      </c>
      <c r="N7" s="4" t="str">
        <f t="shared" si="0"/>
        <v>完成</v>
      </c>
    </row>
    <row r="8" ht="270" customHeight="1" spans="1:14">
      <c r="A8" s="4" t="s">
        <v>87</v>
      </c>
      <c r="B8" s="4" t="s">
        <v>49</v>
      </c>
      <c r="C8" s="4" t="s">
        <v>88</v>
      </c>
      <c r="D8" s="4" t="s">
        <v>37</v>
      </c>
      <c r="E8" s="4" t="s">
        <v>37</v>
      </c>
      <c r="F8" s="4" t="s">
        <v>37</v>
      </c>
      <c r="G8" s="4" t="s">
        <v>89</v>
      </c>
      <c r="H8" s="4" t="s">
        <v>90</v>
      </c>
      <c r="I8" s="4" t="s">
        <v>53</v>
      </c>
      <c r="J8" s="5" t="s">
        <v>54</v>
      </c>
      <c r="K8" s="7" t="s">
        <v>75</v>
      </c>
      <c r="L8" s="5" t="s">
        <v>54</v>
      </c>
      <c r="M8" s="7" t="s">
        <v>91</v>
      </c>
      <c r="N8" s="4" t="str">
        <f t="shared" si="0"/>
        <v>完成</v>
      </c>
    </row>
    <row r="9" ht="270" customHeight="1" spans="1:14">
      <c r="A9" s="4" t="s">
        <v>92</v>
      </c>
      <c r="B9" s="4" t="s">
        <v>49</v>
      </c>
      <c r="C9" s="4" t="s">
        <v>93</v>
      </c>
      <c r="D9" s="4" t="s">
        <v>37</v>
      </c>
      <c r="E9" s="4" t="s">
        <v>37</v>
      </c>
      <c r="F9" s="4" t="s">
        <v>37</v>
      </c>
      <c r="G9" s="4" t="s">
        <v>94</v>
      </c>
      <c r="H9" s="4" t="s">
        <v>95</v>
      </c>
      <c r="I9" s="4" t="s">
        <v>53</v>
      </c>
      <c r="J9" s="5" t="s">
        <v>54</v>
      </c>
      <c r="K9" s="3" t="s">
        <v>75</v>
      </c>
      <c r="L9" s="5" t="s">
        <v>54</v>
      </c>
      <c r="M9" s="7" t="s">
        <v>96</v>
      </c>
      <c r="N9" s="4" t="str">
        <f t="shared" si="0"/>
        <v>完成</v>
      </c>
    </row>
    <row r="10" ht="270" customHeight="1" spans="1:14">
      <c r="A10" s="4" t="s">
        <v>97</v>
      </c>
      <c r="B10" s="4" t="s">
        <v>37</v>
      </c>
      <c r="C10" s="4" t="s">
        <v>98</v>
      </c>
      <c r="D10" s="4" t="s">
        <v>99</v>
      </c>
      <c r="E10" s="4" t="s">
        <v>100</v>
      </c>
      <c r="F10" s="4" t="s">
        <v>101</v>
      </c>
      <c r="G10" s="4" t="s">
        <v>102</v>
      </c>
      <c r="H10" s="4" t="s">
        <v>103</v>
      </c>
      <c r="I10" s="4" t="s">
        <v>37</v>
      </c>
      <c r="J10" s="3" t="s">
        <v>44</v>
      </c>
      <c r="K10" s="7" t="s">
        <v>104</v>
      </c>
      <c r="L10" s="3" t="s">
        <v>46</v>
      </c>
      <c r="M10" s="7" t="s">
        <v>105</v>
      </c>
      <c r="N10" s="4" t="str">
        <f t="shared" si="0"/>
        <v>完成</v>
      </c>
    </row>
    <row r="11" ht="270" customHeight="1" spans="1:14">
      <c r="A11" s="4" t="s">
        <v>106</v>
      </c>
      <c r="B11" s="4" t="s">
        <v>49</v>
      </c>
      <c r="C11" s="4" t="s">
        <v>107</v>
      </c>
      <c r="D11" s="4" t="s">
        <v>37</v>
      </c>
      <c r="E11" s="4" t="s">
        <v>37</v>
      </c>
      <c r="F11" s="4" t="s">
        <v>37</v>
      </c>
      <c r="G11" s="4" t="s">
        <v>108</v>
      </c>
      <c r="H11" s="4" t="s">
        <v>109</v>
      </c>
      <c r="I11" s="4" t="s">
        <v>53</v>
      </c>
      <c r="J11" s="5" t="s">
        <v>54</v>
      </c>
      <c r="K11" s="7" t="s">
        <v>110</v>
      </c>
      <c r="L11" s="5" t="s">
        <v>54</v>
      </c>
      <c r="M11" s="7" t="s">
        <v>111</v>
      </c>
      <c r="N11" s="4" t="str">
        <f t="shared" si="0"/>
        <v>完成</v>
      </c>
    </row>
  </sheetData>
  <dataValidations count="1">
    <dataValidation type="list" sqref="J2:J11 L2:L11">
      <formula1>"CLEARLY_YES,PARTLY,NO,CANNOT_JUDGE"</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showGridLines="0" topLeftCell="F1" workbookViewId="0">
      <selection activeCell="A1" sqref="A1"/>
    </sheetView>
  </sheetViews>
  <sheetFormatPr defaultColWidth="9" defaultRowHeight="13.8"/>
  <cols>
    <col min="1" max="1" width="14" customWidth="1"/>
    <col min="2" max="2" width="30" customWidth="1"/>
    <col min="3" max="3" width="38" customWidth="1"/>
    <col min="4" max="4" width="34" customWidth="1"/>
    <col min="5" max="5" width="58" customWidth="1"/>
    <col min="6" max="6" width="78" customWidth="1"/>
    <col min="7" max="7" width="80" customWidth="1"/>
    <col min="8" max="13" width="18" customWidth="1"/>
    <col min="14" max="14" width="54" customWidth="1"/>
    <col min="15" max="15" width="12" customWidth="1"/>
  </cols>
  <sheetData>
    <row r="1" ht="42" customHeight="1" spans="1:15">
      <c r="A1" s="1" t="s">
        <v>22</v>
      </c>
      <c r="B1" s="1" t="s">
        <v>112</v>
      </c>
      <c r="C1" s="1" t="s">
        <v>113</v>
      </c>
      <c r="D1" s="1" t="s">
        <v>25</v>
      </c>
      <c r="E1" s="1" t="s">
        <v>114</v>
      </c>
      <c r="F1" s="1" t="s">
        <v>115</v>
      </c>
      <c r="G1" s="1" t="s">
        <v>116</v>
      </c>
      <c r="H1" s="1" t="s">
        <v>117</v>
      </c>
      <c r="I1" s="1" t="s">
        <v>118</v>
      </c>
      <c r="J1" s="1" t="s">
        <v>119</v>
      </c>
      <c r="K1" s="1" t="s">
        <v>120</v>
      </c>
      <c r="L1" s="1" t="s">
        <v>121</v>
      </c>
      <c r="M1" s="1" t="s">
        <v>122</v>
      </c>
      <c r="N1" s="1" t="s">
        <v>123</v>
      </c>
      <c r="O1" s="1" t="s">
        <v>35</v>
      </c>
    </row>
    <row r="2" ht="290" customHeight="1" spans="1:15">
      <c r="A2" s="2" t="s">
        <v>36</v>
      </c>
      <c r="B2" s="2" t="s">
        <v>124</v>
      </c>
      <c r="C2" s="2" t="s">
        <v>38</v>
      </c>
      <c r="D2" s="2" t="s">
        <v>39</v>
      </c>
      <c r="E2" s="2" t="s">
        <v>42</v>
      </c>
      <c r="F2" s="2" t="s">
        <v>43</v>
      </c>
      <c r="G2" s="2" t="s">
        <v>125</v>
      </c>
      <c r="H2" s="3" t="s">
        <v>37</v>
      </c>
      <c r="I2" s="3" t="s">
        <v>37</v>
      </c>
      <c r="J2" s="3" t="s">
        <v>37</v>
      </c>
      <c r="K2" s="3" t="s">
        <v>37</v>
      </c>
      <c r="L2" s="3" t="s">
        <v>37</v>
      </c>
      <c r="M2" s="3" t="s">
        <v>37</v>
      </c>
      <c r="N2" s="3" t="s">
        <v>37</v>
      </c>
      <c r="O2" s="2" t="str">
        <f t="shared" ref="O2:O11" si="0">IF(AND(H2&lt;&gt;"",I2&lt;&gt;"",J2&lt;&gt;"",K2&lt;&gt;"",L2&lt;&gt;"",M2&lt;&gt;"",N2&lt;&gt;""),"完成","待填")</f>
        <v>待填</v>
      </c>
    </row>
    <row r="3" ht="290" customHeight="1" spans="1:15">
      <c r="A3" s="4" t="s">
        <v>48</v>
      </c>
      <c r="B3" s="4" t="s">
        <v>126</v>
      </c>
      <c r="C3" s="4" t="s">
        <v>50</v>
      </c>
      <c r="D3" s="4" t="s">
        <v>37</v>
      </c>
      <c r="E3" s="4" t="s">
        <v>51</v>
      </c>
      <c r="F3" s="4" t="s">
        <v>52</v>
      </c>
      <c r="G3" s="4" t="s">
        <v>37</v>
      </c>
      <c r="H3" s="5" t="s">
        <v>127</v>
      </c>
      <c r="I3" s="5" t="s">
        <v>127</v>
      </c>
      <c r="J3" s="5" t="s">
        <v>127</v>
      </c>
      <c r="K3" s="5" t="s">
        <v>127</v>
      </c>
      <c r="L3" s="5" t="s">
        <v>127</v>
      </c>
      <c r="M3" s="5" t="s">
        <v>127</v>
      </c>
      <c r="N3" s="3" t="s">
        <v>37</v>
      </c>
      <c r="O3" s="4" t="str">
        <f t="shared" si="0"/>
        <v>待填</v>
      </c>
    </row>
    <row r="4" ht="290" customHeight="1" spans="1:15">
      <c r="A4" s="4" t="s">
        <v>56</v>
      </c>
      <c r="B4" s="4" t="s">
        <v>126</v>
      </c>
      <c r="C4" s="4" t="s">
        <v>57</v>
      </c>
      <c r="D4" s="4" t="s">
        <v>37</v>
      </c>
      <c r="E4" s="4" t="s">
        <v>58</v>
      </c>
      <c r="F4" s="4" t="s">
        <v>59</v>
      </c>
      <c r="G4" s="4" t="s">
        <v>37</v>
      </c>
      <c r="H4" s="5" t="s">
        <v>127</v>
      </c>
      <c r="I4" s="5" t="s">
        <v>127</v>
      </c>
      <c r="J4" s="5" t="s">
        <v>127</v>
      </c>
      <c r="K4" s="5" t="s">
        <v>127</v>
      </c>
      <c r="L4" s="5" t="s">
        <v>127</v>
      </c>
      <c r="M4" s="5" t="s">
        <v>127</v>
      </c>
      <c r="N4" s="3" t="s">
        <v>37</v>
      </c>
      <c r="O4" s="4" t="str">
        <f t="shared" si="0"/>
        <v>待填</v>
      </c>
    </row>
    <row r="5" ht="290" customHeight="1" spans="1:15">
      <c r="A5" s="4" t="s">
        <v>62</v>
      </c>
      <c r="B5" s="4" t="s">
        <v>124</v>
      </c>
      <c r="C5" s="4" t="s">
        <v>63</v>
      </c>
      <c r="D5" s="4" t="s">
        <v>64</v>
      </c>
      <c r="E5" s="4" t="s">
        <v>67</v>
      </c>
      <c r="F5" s="4" t="s">
        <v>68</v>
      </c>
      <c r="G5" s="4" t="s">
        <v>128</v>
      </c>
      <c r="H5" s="3" t="s">
        <v>37</v>
      </c>
      <c r="I5" s="3" t="s">
        <v>37</v>
      </c>
      <c r="J5" s="3" t="s">
        <v>37</v>
      </c>
      <c r="K5" s="3" t="s">
        <v>37</v>
      </c>
      <c r="L5" s="3" t="s">
        <v>37</v>
      </c>
      <c r="M5" s="3" t="s">
        <v>37</v>
      </c>
      <c r="N5" s="3" t="s">
        <v>37</v>
      </c>
      <c r="O5" s="4" t="str">
        <f t="shared" si="0"/>
        <v>待填</v>
      </c>
    </row>
    <row r="6" ht="290" customHeight="1" spans="1:15">
      <c r="A6" s="4" t="s">
        <v>71</v>
      </c>
      <c r="B6" s="4" t="s">
        <v>126</v>
      </c>
      <c r="C6" s="4" t="s">
        <v>72</v>
      </c>
      <c r="D6" s="4" t="s">
        <v>37</v>
      </c>
      <c r="E6" s="4" t="s">
        <v>73</v>
      </c>
      <c r="F6" s="4" t="s">
        <v>74</v>
      </c>
      <c r="G6" s="4" t="s">
        <v>37</v>
      </c>
      <c r="H6" s="5" t="s">
        <v>127</v>
      </c>
      <c r="I6" s="5" t="s">
        <v>127</v>
      </c>
      <c r="J6" s="5" t="s">
        <v>127</v>
      </c>
      <c r="K6" s="5" t="s">
        <v>127</v>
      </c>
      <c r="L6" s="5" t="s">
        <v>127</v>
      </c>
      <c r="M6" s="5" t="s">
        <v>127</v>
      </c>
      <c r="N6" s="3" t="s">
        <v>37</v>
      </c>
      <c r="O6" s="4" t="str">
        <f t="shared" si="0"/>
        <v>待填</v>
      </c>
    </row>
    <row r="7" ht="290" customHeight="1" spans="1:15">
      <c r="A7" s="4" t="s">
        <v>77</v>
      </c>
      <c r="B7" s="4" t="s">
        <v>124</v>
      </c>
      <c r="C7" s="4" t="s">
        <v>78</v>
      </c>
      <c r="D7" s="4" t="s">
        <v>79</v>
      </c>
      <c r="E7" s="4" t="s">
        <v>82</v>
      </c>
      <c r="F7" s="4" t="s">
        <v>83</v>
      </c>
      <c r="G7" s="4" t="s">
        <v>129</v>
      </c>
      <c r="H7" s="3" t="s">
        <v>37</v>
      </c>
      <c r="I7" s="3" t="s">
        <v>37</v>
      </c>
      <c r="J7" s="3" t="s">
        <v>37</v>
      </c>
      <c r="K7" s="3" t="s">
        <v>37</v>
      </c>
      <c r="L7" s="3" t="s">
        <v>37</v>
      </c>
      <c r="M7" s="3" t="s">
        <v>37</v>
      </c>
      <c r="N7" s="3" t="s">
        <v>37</v>
      </c>
      <c r="O7" s="4" t="str">
        <f t="shared" si="0"/>
        <v>待填</v>
      </c>
    </row>
    <row r="8" ht="290" customHeight="1" spans="1:15">
      <c r="A8" s="4" t="s">
        <v>87</v>
      </c>
      <c r="B8" s="4" t="s">
        <v>126</v>
      </c>
      <c r="C8" s="4" t="s">
        <v>88</v>
      </c>
      <c r="D8" s="4" t="s">
        <v>37</v>
      </c>
      <c r="E8" s="4" t="s">
        <v>89</v>
      </c>
      <c r="F8" s="4" t="s">
        <v>90</v>
      </c>
      <c r="G8" s="4" t="s">
        <v>37</v>
      </c>
      <c r="H8" s="5" t="s">
        <v>127</v>
      </c>
      <c r="I8" s="5" t="s">
        <v>127</v>
      </c>
      <c r="J8" s="5" t="s">
        <v>127</v>
      </c>
      <c r="K8" s="5" t="s">
        <v>127</v>
      </c>
      <c r="L8" s="5" t="s">
        <v>127</v>
      </c>
      <c r="M8" s="5" t="s">
        <v>127</v>
      </c>
      <c r="N8" s="3" t="s">
        <v>37</v>
      </c>
      <c r="O8" s="4" t="str">
        <f t="shared" si="0"/>
        <v>待填</v>
      </c>
    </row>
    <row r="9" ht="290" customHeight="1" spans="1:15">
      <c r="A9" s="4" t="s">
        <v>92</v>
      </c>
      <c r="B9" s="4" t="s">
        <v>126</v>
      </c>
      <c r="C9" s="4" t="s">
        <v>93</v>
      </c>
      <c r="D9" s="4" t="s">
        <v>37</v>
      </c>
      <c r="E9" s="4" t="s">
        <v>94</v>
      </c>
      <c r="F9" s="4" t="s">
        <v>130</v>
      </c>
      <c r="G9" s="4" t="s">
        <v>37</v>
      </c>
      <c r="H9" s="5" t="s">
        <v>127</v>
      </c>
      <c r="I9" s="5" t="s">
        <v>127</v>
      </c>
      <c r="J9" s="5" t="s">
        <v>127</v>
      </c>
      <c r="K9" s="5" t="s">
        <v>127</v>
      </c>
      <c r="L9" s="5" t="s">
        <v>127</v>
      </c>
      <c r="M9" s="5" t="s">
        <v>127</v>
      </c>
      <c r="N9" s="3" t="s">
        <v>37</v>
      </c>
      <c r="O9" s="4" t="str">
        <f t="shared" si="0"/>
        <v>待填</v>
      </c>
    </row>
    <row r="10" ht="290" customHeight="1" spans="1:15">
      <c r="A10" s="4" t="s">
        <v>97</v>
      </c>
      <c r="B10" s="4" t="s">
        <v>124</v>
      </c>
      <c r="C10" s="4" t="s">
        <v>98</v>
      </c>
      <c r="D10" s="4" t="s">
        <v>99</v>
      </c>
      <c r="E10" s="4" t="s">
        <v>102</v>
      </c>
      <c r="F10" s="4" t="s">
        <v>103</v>
      </c>
      <c r="G10" s="4" t="s">
        <v>131</v>
      </c>
      <c r="H10" s="3" t="s">
        <v>37</v>
      </c>
      <c r="I10" s="3" t="s">
        <v>37</v>
      </c>
      <c r="J10" s="3" t="s">
        <v>37</v>
      </c>
      <c r="K10" s="3" t="s">
        <v>37</v>
      </c>
      <c r="L10" s="3" t="s">
        <v>37</v>
      </c>
      <c r="M10" s="3" t="s">
        <v>37</v>
      </c>
      <c r="N10" s="3" t="s">
        <v>37</v>
      </c>
      <c r="O10" s="4" t="str">
        <f t="shared" si="0"/>
        <v>待填</v>
      </c>
    </row>
    <row r="11" ht="290" customHeight="1" spans="1:15">
      <c r="A11" s="4" t="s">
        <v>106</v>
      </c>
      <c r="B11" s="4" t="s">
        <v>126</v>
      </c>
      <c r="C11" s="4" t="s">
        <v>107</v>
      </c>
      <c r="D11" s="4" t="s">
        <v>37</v>
      </c>
      <c r="E11" s="4" t="s">
        <v>108</v>
      </c>
      <c r="F11" s="4" t="s">
        <v>132</v>
      </c>
      <c r="G11" s="4" t="s">
        <v>37</v>
      </c>
      <c r="H11" s="5" t="s">
        <v>127</v>
      </c>
      <c r="I11" s="5" t="s">
        <v>127</v>
      </c>
      <c r="J11" s="5" t="s">
        <v>127</v>
      </c>
      <c r="K11" s="5" t="s">
        <v>127</v>
      </c>
      <c r="L11" s="5" t="s">
        <v>127</v>
      </c>
      <c r="M11" s="5" t="s">
        <v>127</v>
      </c>
      <c r="N11" s="3" t="s">
        <v>37</v>
      </c>
      <c r="O11" s="4" t="str">
        <f t="shared" si="0"/>
        <v>待填</v>
      </c>
    </row>
  </sheetData>
  <dataValidations count="1">
    <dataValidation type="list" sqref="H2:M11">
      <formula1>"SUPPORTED,PARTIAL,UNSUPPORTED,UNCERTAIN"</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showGridLines="0" topLeftCell="E1" workbookViewId="0">
      <selection activeCell="F2" sqref="F2"/>
    </sheetView>
  </sheetViews>
  <sheetFormatPr defaultColWidth="9" defaultRowHeight="13.8"/>
  <cols>
    <col min="1" max="1" width="14" customWidth="1"/>
    <col min="2" max="2" width="38" customWidth="1"/>
    <col min="3" max="3" width="34" customWidth="1"/>
    <col min="4" max="4" width="70" customWidth="1"/>
    <col min="5" max="5" width="78" customWidth="1"/>
    <col min="6" max="7" width="18" customWidth="1"/>
    <col min="8" max="8" width="20" customWidth="1"/>
    <col min="9" max="9" width="18" customWidth="1"/>
    <col min="10" max="10" width="20" customWidth="1"/>
    <col min="11" max="11" width="24" customWidth="1"/>
    <col min="12" max="12" width="20" customWidth="1"/>
    <col min="13" max="13" width="18" customWidth="1"/>
    <col min="14" max="14" width="52" customWidth="1"/>
    <col min="15" max="15" width="14" customWidth="1"/>
  </cols>
  <sheetData>
    <row r="1" ht="42" customHeight="1" spans="1:15">
      <c r="A1" s="1" t="s">
        <v>22</v>
      </c>
      <c r="B1" s="1" t="s">
        <v>113</v>
      </c>
      <c r="C1" s="1" t="s">
        <v>25</v>
      </c>
      <c r="D1" s="1" t="s">
        <v>26</v>
      </c>
      <c r="E1" s="1" t="s">
        <v>29</v>
      </c>
      <c r="F1" s="1" t="s">
        <v>133</v>
      </c>
      <c r="G1" s="1" t="s">
        <v>134</v>
      </c>
      <c r="H1" s="1" t="s">
        <v>135</v>
      </c>
      <c r="I1" s="1" t="s">
        <v>136</v>
      </c>
      <c r="J1" s="1" t="s">
        <v>137</v>
      </c>
      <c r="K1" s="1" t="s">
        <v>138</v>
      </c>
      <c r="L1" s="1" t="s">
        <v>139</v>
      </c>
      <c r="M1" s="1" t="s">
        <v>140</v>
      </c>
      <c r="N1" s="1" t="s">
        <v>141</v>
      </c>
      <c r="O1" s="1" t="s">
        <v>142</v>
      </c>
    </row>
    <row r="2" ht="250" customHeight="1" spans="1:15">
      <c r="A2" s="2" t="s">
        <v>36</v>
      </c>
      <c r="B2" s="2" t="s">
        <v>38</v>
      </c>
      <c r="C2" s="2" t="s">
        <v>39</v>
      </c>
      <c r="D2" s="2" t="s">
        <v>143</v>
      </c>
      <c r="E2" s="2" t="s">
        <v>43</v>
      </c>
      <c r="F2" s="3" t="s">
        <v>37</v>
      </c>
      <c r="G2" s="3" t="s">
        <v>37</v>
      </c>
      <c r="H2" s="3" t="s">
        <v>37</v>
      </c>
      <c r="I2" s="3" t="s">
        <v>37</v>
      </c>
      <c r="J2" s="3" t="s">
        <v>37</v>
      </c>
      <c r="K2" s="3" t="s">
        <v>37</v>
      </c>
      <c r="L2" s="3" t="s">
        <v>37</v>
      </c>
      <c r="M2" s="3" t="s">
        <v>37</v>
      </c>
      <c r="N2" s="3" t="s">
        <v>37</v>
      </c>
      <c r="O2" s="2" t="str">
        <f t="shared" ref="O2:O11" si="0">IF(COUNTIF(F2:M2,"TRUE_HARD_FAIL")&gt;0,"HARD_FAIL",IF(COUNTBLANK(F2:M2)&gt;0,"待填",IF(COUNTIF(F2:M2,"CANNOT_CHECK")&gt;0,"INCOMPLETE","PASS")))</f>
        <v>待填</v>
      </c>
    </row>
    <row r="3" ht="250" customHeight="1" spans="1:15">
      <c r="A3" s="4" t="s">
        <v>48</v>
      </c>
      <c r="B3" s="4" t="s">
        <v>50</v>
      </c>
      <c r="C3" s="4" t="s">
        <v>37</v>
      </c>
      <c r="D3" s="4" t="s">
        <v>37</v>
      </c>
      <c r="E3" s="4" t="s">
        <v>52</v>
      </c>
      <c r="F3" s="3" t="s">
        <v>37</v>
      </c>
      <c r="G3" s="3" t="s">
        <v>37</v>
      </c>
      <c r="H3" s="3" t="s">
        <v>37</v>
      </c>
      <c r="I3" s="3" t="s">
        <v>37</v>
      </c>
      <c r="J3" s="3" t="s">
        <v>37</v>
      </c>
      <c r="K3" s="3" t="s">
        <v>37</v>
      </c>
      <c r="L3" s="3" t="s">
        <v>37</v>
      </c>
      <c r="M3" s="3" t="s">
        <v>37</v>
      </c>
      <c r="N3" s="3" t="s">
        <v>37</v>
      </c>
      <c r="O3" s="4" t="str">
        <f t="shared" si="0"/>
        <v>待填</v>
      </c>
    </row>
    <row r="4" ht="250" customHeight="1" spans="1:15">
      <c r="A4" s="4" t="s">
        <v>56</v>
      </c>
      <c r="B4" s="4" t="s">
        <v>57</v>
      </c>
      <c r="C4" s="4" t="s">
        <v>37</v>
      </c>
      <c r="D4" s="4" t="s">
        <v>37</v>
      </c>
      <c r="E4" s="4" t="s">
        <v>59</v>
      </c>
      <c r="F4" s="3" t="s">
        <v>37</v>
      </c>
      <c r="G4" s="3" t="s">
        <v>37</v>
      </c>
      <c r="H4" s="3" t="s">
        <v>37</v>
      </c>
      <c r="I4" s="3" t="s">
        <v>37</v>
      </c>
      <c r="J4" s="3" t="s">
        <v>37</v>
      </c>
      <c r="K4" s="3" t="s">
        <v>37</v>
      </c>
      <c r="L4" s="3" t="s">
        <v>37</v>
      </c>
      <c r="M4" s="3" t="s">
        <v>37</v>
      </c>
      <c r="N4" s="3" t="s">
        <v>37</v>
      </c>
      <c r="O4" s="4" t="str">
        <f t="shared" si="0"/>
        <v>待填</v>
      </c>
    </row>
    <row r="5" ht="250" customHeight="1" spans="1:15">
      <c r="A5" s="4" t="s">
        <v>62</v>
      </c>
      <c r="B5" s="4" t="s">
        <v>63</v>
      </c>
      <c r="C5" s="4" t="s">
        <v>64</v>
      </c>
      <c r="D5" s="4" t="s">
        <v>65</v>
      </c>
      <c r="E5" s="4" t="s">
        <v>68</v>
      </c>
      <c r="F5" s="3" t="s">
        <v>37</v>
      </c>
      <c r="G5" s="3" t="s">
        <v>37</v>
      </c>
      <c r="H5" s="3" t="s">
        <v>37</v>
      </c>
      <c r="I5" s="3" t="s">
        <v>37</v>
      </c>
      <c r="J5" s="3" t="s">
        <v>37</v>
      </c>
      <c r="K5" s="3" t="s">
        <v>37</v>
      </c>
      <c r="L5" s="3" t="s">
        <v>37</v>
      </c>
      <c r="M5" s="3" t="s">
        <v>37</v>
      </c>
      <c r="N5" s="3" t="s">
        <v>37</v>
      </c>
      <c r="O5" s="4" t="str">
        <f t="shared" si="0"/>
        <v>待填</v>
      </c>
    </row>
    <row r="6" ht="250" customHeight="1" spans="1:15">
      <c r="A6" s="4" t="s">
        <v>71</v>
      </c>
      <c r="B6" s="4" t="s">
        <v>72</v>
      </c>
      <c r="C6" s="4" t="s">
        <v>37</v>
      </c>
      <c r="D6" s="4" t="s">
        <v>37</v>
      </c>
      <c r="E6" s="4" t="s">
        <v>74</v>
      </c>
      <c r="F6" s="3" t="s">
        <v>37</v>
      </c>
      <c r="G6" s="3" t="s">
        <v>37</v>
      </c>
      <c r="H6" s="3" t="s">
        <v>37</v>
      </c>
      <c r="I6" s="3" t="s">
        <v>37</v>
      </c>
      <c r="J6" s="3" t="s">
        <v>37</v>
      </c>
      <c r="K6" s="3" t="s">
        <v>37</v>
      </c>
      <c r="L6" s="3" t="s">
        <v>37</v>
      </c>
      <c r="M6" s="3" t="s">
        <v>37</v>
      </c>
      <c r="N6" s="3" t="s">
        <v>37</v>
      </c>
      <c r="O6" s="4" t="str">
        <f t="shared" si="0"/>
        <v>待填</v>
      </c>
    </row>
    <row r="7" ht="250" customHeight="1" spans="1:15">
      <c r="A7" s="4" t="s">
        <v>77</v>
      </c>
      <c r="B7" s="4" t="s">
        <v>78</v>
      </c>
      <c r="C7" s="4" t="s">
        <v>79</v>
      </c>
      <c r="D7" s="4" t="s">
        <v>144</v>
      </c>
      <c r="E7" s="4" t="s">
        <v>83</v>
      </c>
      <c r="F7" s="3" t="s">
        <v>37</v>
      </c>
      <c r="G7" s="3" t="s">
        <v>37</v>
      </c>
      <c r="H7" s="3" t="s">
        <v>37</v>
      </c>
      <c r="I7" s="3" t="s">
        <v>37</v>
      </c>
      <c r="J7" s="3" t="s">
        <v>37</v>
      </c>
      <c r="K7" s="3" t="s">
        <v>37</v>
      </c>
      <c r="L7" s="3" t="s">
        <v>37</v>
      </c>
      <c r="M7" s="3" t="s">
        <v>37</v>
      </c>
      <c r="N7" s="3" t="s">
        <v>37</v>
      </c>
      <c r="O7" s="4" t="str">
        <f t="shared" si="0"/>
        <v>待填</v>
      </c>
    </row>
    <row r="8" ht="250" customHeight="1" spans="1:15">
      <c r="A8" s="4" t="s">
        <v>87</v>
      </c>
      <c r="B8" s="4" t="s">
        <v>88</v>
      </c>
      <c r="C8" s="4" t="s">
        <v>37</v>
      </c>
      <c r="D8" s="4" t="s">
        <v>37</v>
      </c>
      <c r="E8" s="4" t="s">
        <v>90</v>
      </c>
      <c r="F8" s="3" t="s">
        <v>37</v>
      </c>
      <c r="G8" s="3" t="s">
        <v>37</v>
      </c>
      <c r="H8" s="3" t="s">
        <v>37</v>
      </c>
      <c r="I8" s="3" t="s">
        <v>37</v>
      </c>
      <c r="J8" s="3" t="s">
        <v>37</v>
      </c>
      <c r="K8" s="3" t="s">
        <v>37</v>
      </c>
      <c r="L8" s="3" t="s">
        <v>37</v>
      </c>
      <c r="M8" s="3" t="s">
        <v>37</v>
      </c>
      <c r="N8" s="3" t="s">
        <v>37</v>
      </c>
      <c r="O8" s="4" t="str">
        <f t="shared" si="0"/>
        <v>待填</v>
      </c>
    </row>
    <row r="9" ht="250" customHeight="1" spans="1:15">
      <c r="A9" s="4" t="s">
        <v>92</v>
      </c>
      <c r="B9" s="4" t="s">
        <v>93</v>
      </c>
      <c r="C9" s="4" t="s">
        <v>37</v>
      </c>
      <c r="D9" s="4" t="s">
        <v>37</v>
      </c>
      <c r="E9" s="4" t="s">
        <v>130</v>
      </c>
      <c r="F9" s="3" t="s">
        <v>37</v>
      </c>
      <c r="G9" s="3" t="s">
        <v>37</v>
      </c>
      <c r="H9" s="3" t="s">
        <v>37</v>
      </c>
      <c r="I9" s="3" t="s">
        <v>37</v>
      </c>
      <c r="J9" s="3" t="s">
        <v>37</v>
      </c>
      <c r="K9" s="3" t="s">
        <v>37</v>
      </c>
      <c r="L9" s="3" t="s">
        <v>37</v>
      </c>
      <c r="M9" s="3" t="s">
        <v>37</v>
      </c>
      <c r="N9" s="3" t="s">
        <v>37</v>
      </c>
      <c r="O9" s="4" t="str">
        <f t="shared" si="0"/>
        <v>待填</v>
      </c>
    </row>
    <row r="10" ht="250" customHeight="1" spans="1:15">
      <c r="A10" s="4" t="s">
        <v>97</v>
      </c>
      <c r="B10" s="4" t="s">
        <v>98</v>
      </c>
      <c r="C10" s="4" t="s">
        <v>99</v>
      </c>
      <c r="D10" s="4" t="s">
        <v>100</v>
      </c>
      <c r="E10" s="4" t="s">
        <v>103</v>
      </c>
      <c r="F10" s="3" t="s">
        <v>37</v>
      </c>
      <c r="G10" s="3" t="s">
        <v>37</v>
      </c>
      <c r="H10" s="3" t="s">
        <v>37</v>
      </c>
      <c r="I10" s="3" t="s">
        <v>37</v>
      </c>
      <c r="J10" s="3" t="s">
        <v>37</v>
      </c>
      <c r="K10" s="3" t="s">
        <v>37</v>
      </c>
      <c r="L10" s="3" t="s">
        <v>37</v>
      </c>
      <c r="M10" s="3" t="s">
        <v>37</v>
      </c>
      <c r="N10" s="3" t="s">
        <v>37</v>
      </c>
      <c r="O10" s="4" t="str">
        <f t="shared" si="0"/>
        <v>待填</v>
      </c>
    </row>
    <row r="11" ht="250" customHeight="1" spans="1:15">
      <c r="A11" s="4" t="s">
        <v>106</v>
      </c>
      <c r="B11" s="4" t="s">
        <v>107</v>
      </c>
      <c r="C11" s="4" t="s">
        <v>37</v>
      </c>
      <c r="D11" s="4" t="s">
        <v>37</v>
      </c>
      <c r="E11" s="4" t="s">
        <v>132</v>
      </c>
      <c r="F11" s="3" t="s">
        <v>37</v>
      </c>
      <c r="G11" s="3" t="s">
        <v>37</v>
      </c>
      <c r="H11" s="3" t="s">
        <v>37</v>
      </c>
      <c r="I11" s="3" t="s">
        <v>37</v>
      </c>
      <c r="J11" s="3" t="s">
        <v>37</v>
      </c>
      <c r="K11" s="3" t="s">
        <v>37</v>
      </c>
      <c r="L11" s="3" t="s">
        <v>37</v>
      </c>
      <c r="M11" s="3" t="s">
        <v>37</v>
      </c>
      <c r="N11" s="3" t="s">
        <v>37</v>
      </c>
      <c r="O11" s="4" t="str">
        <f t="shared" si="0"/>
        <v>待填</v>
      </c>
    </row>
  </sheetData>
  <dataValidations count="1">
    <dataValidation type="list" sqref="F2:M11">
      <formula1>"TRUE_HARD_FAIL,FALSE_NO_HARD_FAIL,CANNOT_CHECK"</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使用说明</vt:lpstr>
      <vt:lpstr>用户价值</vt:lpstr>
      <vt:lpstr>易学结构</vt:lpstr>
      <vt:lpstr>产品边界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Abalo</cp:lastModifiedBy>
  <dcterms:created xsi:type="dcterms:W3CDTF">2026-08-05T15:14:12Z</dcterms:created>
  <dcterms:modified xsi:type="dcterms:W3CDTF">2026-08-05T23:55:41Z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37F9981D828F442E865860E47DEB7AD4_12</vt:lpwstr>
  </property>
  <property fmtid="{D5CDD505-2E9C-101B-9397-08002B2CF9AE}" pid="3" name="KSOProductBuildVer">
    <vt:lpwstr>2052-12.1.0.26899</vt:lpwstr>
  </property>
  <property fmtid="{D5CDD505-2E9C-101B-9397-08002B2CF9AE}" pid="4" name="CalculationRule">
    <vt:i4>0</vt:i4>
  </property>
</Properties>
</file>